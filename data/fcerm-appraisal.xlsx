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08"/>
  <workbookPr codeName="ThisWorkbook"/>
  <mc:AlternateContent xmlns:mc="http://schemas.openxmlformats.org/markup-compatibility/2006">
    <mc:Choice Requires="x15">
      <x15ac:absPath xmlns:x15ac="http://schemas.microsoft.com/office/spreadsheetml/2010/11/ac" url="https://defra.sharepoint.com/sites/MSTEAFCERMAGupdate/Shared Documents/General/08 Final Documents/"/>
    </mc:Choice>
  </mc:AlternateContent>
  <xr:revisionPtr revIDLastSave="150" documentId="8_{DA26D6F2-58F3-4B9B-8D1C-A7F7599214E2}" xr6:coauthVersionLast="47" xr6:coauthVersionMax="47" xr10:uidLastSave="{997CAFC2-F32E-4A8E-800E-96FF1EC0F822}"/>
  <bookViews>
    <workbookView xWindow="-5355" yWindow="-16320" windowWidth="29040" windowHeight="15840" tabRatio="797" firstSheet="6" activeTab="2" xr2:uid="{00000000-000D-0000-FFFF-FFFF00000000}"/>
  </bookViews>
  <sheets>
    <sheet name="Introduction, key and version" sheetId="56" r:id="rId1"/>
    <sheet name="Summary" sheetId="1" r:id="rId2"/>
    <sheet name="Annual Average Damage" sheetId="37" r:id="rId3"/>
    <sheet name="Breach Damage Do-nothing" sheetId="20" r:id="rId4"/>
    <sheet name="Erosion" sheetId="51" r:id="rId5"/>
    <sheet name="PV Costs" sheetId="23" r:id="rId6"/>
    <sheet name="PV Damages" sheetId="65" r:id="rId7"/>
    <sheet name="Metadata" sheetId="66" r:id="rId8"/>
  </sheets>
  <definedNames>
    <definedName name="_xlnm.Print_Area" localSheetId="3">'Breach Damage Do-nothing'!$A$1:$M$130</definedName>
    <definedName name="_xlnm.Print_Area" localSheetId="4">Erosion!$A$1:$J$75</definedName>
    <definedName name="_xlnm.Print_Area" localSheetId="5">'PV Costs'!$A$1:$AK$116</definedName>
    <definedName name="_xlnm.Print_Area" localSheetId="6">'PV Damages'!$A$1:$AL$116</definedName>
    <definedName name="_xlnm.Print_Area" localSheetId="1">Summary!$A$1:$F$64</definedName>
    <definedName name="_xlnm.Print_Titles" localSheetId="3">'Breach Damage Do-nothing'!$18:$19</definedName>
    <definedName name="_xlnm.Print_Titles" localSheetId="5">'PV Costs'!$10:$11</definedName>
    <definedName name="_xlnm.Print_Titles" localSheetId="6">'PV Damages'!$10:$11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8" i="23" l="1"/>
  <c r="D11" i="1"/>
  <c r="F5" i="37"/>
  <c r="I10" i="37"/>
  <c r="I9" i="37"/>
  <c r="L22" i="37" s="1"/>
  <c r="F13" i="51"/>
  <c r="F14" i="51"/>
  <c r="F15" i="51"/>
  <c r="I15" i="51"/>
  <c r="F16" i="51"/>
  <c r="F17" i="51"/>
  <c r="G17" i="51"/>
  <c r="F18" i="51"/>
  <c r="F19" i="51"/>
  <c r="F20" i="51"/>
  <c r="H20" i="51"/>
  <c r="F21" i="51"/>
  <c r="F22" i="51"/>
  <c r="F23" i="51"/>
  <c r="I23" i="51"/>
  <c r="F24" i="51"/>
  <c r="F25" i="51"/>
  <c r="G25" i="51"/>
  <c r="F26" i="51"/>
  <c r="F27" i="51"/>
  <c r="F28" i="51"/>
  <c r="H28" i="51"/>
  <c r="F29" i="51"/>
  <c r="F30" i="51"/>
  <c r="F31" i="51"/>
  <c r="I31" i="51"/>
  <c r="F32" i="51"/>
  <c r="F33" i="51"/>
  <c r="G33" i="51"/>
  <c r="F34" i="51"/>
  <c r="F35" i="51"/>
  <c r="F36" i="51"/>
  <c r="H36" i="51"/>
  <c r="F37" i="51"/>
  <c r="F38" i="51"/>
  <c r="F39" i="51"/>
  <c r="I39" i="51"/>
  <c r="F40" i="51"/>
  <c r="F41" i="51"/>
  <c r="G41" i="51"/>
  <c r="F42" i="51"/>
  <c r="F43" i="51"/>
  <c r="F44" i="51"/>
  <c r="H44" i="51"/>
  <c r="F45" i="51"/>
  <c r="F46" i="51"/>
  <c r="F47" i="51"/>
  <c r="I47" i="51"/>
  <c r="F48" i="51"/>
  <c r="F49" i="51"/>
  <c r="G49" i="51"/>
  <c r="F50" i="51"/>
  <c r="J50" i="51"/>
  <c r="F51" i="51"/>
  <c r="F52" i="51"/>
  <c r="H52" i="51"/>
  <c r="F53" i="51"/>
  <c r="F54" i="51"/>
  <c r="F55" i="51"/>
  <c r="I55" i="51"/>
  <c r="F56" i="51"/>
  <c r="F57" i="51"/>
  <c r="G57" i="51"/>
  <c r="F58" i="51"/>
  <c r="F59" i="51"/>
  <c r="F60" i="51"/>
  <c r="H60" i="51"/>
  <c r="F61" i="51"/>
  <c r="F62" i="51"/>
  <c r="G12" i="51"/>
  <c r="F12" i="51"/>
  <c r="D9" i="23"/>
  <c r="C26" i="65"/>
  <c r="AM26" i="65" s="1"/>
  <c r="C9" i="51"/>
  <c r="AV114" i="65"/>
  <c r="AV113" i="65"/>
  <c r="AV112" i="65"/>
  <c r="AV111" i="65"/>
  <c r="AV110" i="65"/>
  <c r="AV109" i="65"/>
  <c r="AV108" i="65"/>
  <c r="AV107" i="65"/>
  <c r="AV106" i="65"/>
  <c r="AV105" i="65"/>
  <c r="AV104" i="65"/>
  <c r="AV103" i="65"/>
  <c r="AV102" i="65"/>
  <c r="AV101" i="65"/>
  <c r="AV100" i="65"/>
  <c r="AV99" i="65"/>
  <c r="AV98" i="65"/>
  <c r="AV97" i="65"/>
  <c r="AV96" i="65"/>
  <c r="AV95" i="65"/>
  <c r="AV94" i="65"/>
  <c r="AV93" i="65"/>
  <c r="AV92" i="65"/>
  <c r="AV91" i="65"/>
  <c r="AV90" i="65"/>
  <c r="AV89" i="65"/>
  <c r="AV88" i="65"/>
  <c r="AV87" i="65"/>
  <c r="AV86" i="65"/>
  <c r="AV85" i="65"/>
  <c r="AV84" i="65"/>
  <c r="AV83" i="65"/>
  <c r="AV82" i="65"/>
  <c r="AV81" i="65"/>
  <c r="AV80" i="65"/>
  <c r="AV79" i="65"/>
  <c r="AV78" i="65"/>
  <c r="AV77" i="65"/>
  <c r="AV76" i="65"/>
  <c r="AV75" i="65"/>
  <c r="AV74" i="65"/>
  <c r="AV73" i="65"/>
  <c r="AV72" i="65"/>
  <c r="AV71" i="65"/>
  <c r="AV70" i="65"/>
  <c r="AV69" i="65"/>
  <c r="AV68" i="65"/>
  <c r="AV67" i="65"/>
  <c r="AV66" i="65"/>
  <c r="AV65" i="65"/>
  <c r="AV64" i="65"/>
  <c r="AV63" i="65"/>
  <c r="AV62" i="65"/>
  <c r="AV61" i="65"/>
  <c r="AV60" i="65"/>
  <c r="AV59" i="65"/>
  <c r="AV58" i="65"/>
  <c r="AV57" i="65"/>
  <c r="AV56" i="65"/>
  <c r="AV55" i="65"/>
  <c r="AV54" i="65"/>
  <c r="AV53" i="65"/>
  <c r="AV52" i="65"/>
  <c r="AV51" i="65"/>
  <c r="AV50" i="65"/>
  <c r="AV49" i="65"/>
  <c r="AV48" i="65"/>
  <c r="AV47" i="65"/>
  <c r="AV46" i="65"/>
  <c r="AV45" i="65"/>
  <c r="AV44" i="65"/>
  <c r="AV43" i="65"/>
  <c r="AV42" i="65"/>
  <c r="AV41" i="65"/>
  <c r="AV40" i="65"/>
  <c r="AV39" i="65"/>
  <c r="AV38" i="65"/>
  <c r="AV37" i="65"/>
  <c r="AV36" i="65"/>
  <c r="AV35" i="65"/>
  <c r="AV34" i="65"/>
  <c r="AV33" i="65"/>
  <c r="AV32" i="65"/>
  <c r="AV31" i="65"/>
  <c r="AV30" i="65"/>
  <c r="AV29" i="65"/>
  <c r="AV28" i="65"/>
  <c r="AV27" i="65"/>
  <c r="AV26" i="65"/>
  <c r="AV25" i="65"/>
  <c r="AV24" i="65"/>
  <c r="AV23" i="65"/>
  <c r="AV22" i="65"/>
  <c r="AV21" i="65"/>
  <c r="AV20" i="65"/>
  <c r="AV19" i="65"/>
  <c r="AV18" i="65"/>
  <c r="AV17" i="65"/>
  <c r="AV16" i="65"/>
  <c r="AV15" i="65"/>
  <c r="AM114" i="65"/>
  <c r="AM113" i="65"/>
  <c r="AM112" i="65"/>
  <c r="AM111" i="65"/>
  <c r="AM110" i="65"/>
  <c r="AM109" i="65"/>
  <c r="AM108" i="65"/>
  <c r="AM107" i="65"/>
  <c r="AM106" i="65"/>
  <c r="AM105" i="65"/>
  <c r="AM104" i="65"/>
  <c r="AM103" i="65"/>
  <c r="AM102" i="65"/>
  <c r="AM101" i="65"/>
  <c r="AM100" i="65"/>
  <c r="AM99" i="65"/>
  <c r="AM98" i="65"/>
  <c r="AM97" i="65"/>
  <c r="AM96" i="65"/>
  <c r="AM95" i="65"/>
  <c r="AM94" i="65"/>
  <c r="AM93" i="65"/>
  <c r="AM92" i="65"/>
  <c r="AM91" i="65"/>
  <c r="AM90" i="65"/>
  <c r="AM89" i="65"/>
  <c r="AM88" i="65"/>
  <c r="AM87" i="65"/>
  <c r="AM86" i="65"/>
  <c r="AM85" i="65"/>
  <c r="AM84" i="65"/>
  <c r="AM83" i="65"/>
  <c r="AM82" i="65"/>
  <c r="AM81" i="65"/>
  <c r="AM80" i="65"/>
  <c r="AM79" i="65"/>
  <c r="AM78" i="65"/>
  <c r="AM77" i="65"/>
  <c r="AM76" i="65"/>
  <c r="AM75" i="65"/>
  <c r="AM74" i="65"/>
  <c r="AM73" i="65"/>
  <c r="AM72" i="65"/>
  <c r="AM71" i="65"/>
  <c r="AM70" i="65"/>
  <c r="AM69" i="65"/>
  <c r="AM68" i="65"/>
  <c r="AM67" i="65"/>
  <c r="AM66" i="65"/>
  <c r="AM65" i="65"/>
  <c r="AM64" i="65"/>
  <c r="AM63" i="65"/>
  <c r="AM62" i="65"/>
  <c r="AM61" i="65"/>
  <c r="AM60" i="65"/>
  <c r="AM59" i="65"/>
  <c r="AM58" i="65"/>
  <c r="AM57" i="65"/>
  <c r="AM56" i="65"/>
  <c r="AM55" i="65"/>
  <c r="AM54" i="65"/>
  <c r="AM53" i="65"/>
  <c r="AM52" i="65"/>
  <c r="AM51" i="65"/>
  <c r="AM50" i="65"/>
  <c r="AM49" i="65"/>
  <c r="AM48" i="65"/>
  <c r="AM47" i="65"/>
  <c r="AM46" i="65"/>
  <c r="AM45" i="65"/>
  <c r="AM44" i="65"/>
  <c r="AM43" i="65"/>
  <c r="AM42" i="65"/>
  <c r="AM41" i="65"/>
  <c r="AM40" i="65"/>
  <c r="AM39" i="65"/>
  <c r="AM38" i="65"/>
  <c r="AM37" i="65"/>
  <c r="AM36" i="65"/>
  <c r="AM35" i="65"/>
  <c r="AM34" i="65"/>
  <c r="AM33" i="65"/>
  <c r="AM32" i="65"/>
  <c r="AM31" i="65"/>
  <c r="AM30" i="65"/>
  <c r="AM29" i="65"/>
  <c r="AM28" i="65"/>
  <c r="AM27" i="65"/>
  <c r="AM25" i="65"/>
  <c r="AM24" i="65"/>
  <c r="AM23" i="65"/>
  <c r="AM22" i="65"/>
  <c r="AM21" i="65"/>
  <c r="AM20" i="65"/>
  <c r="AM19" i="65"/>
  <c r="AM18" i="65"/>
  <c r="AM17" i="65"/>
  <c r="AM16" i="65"/>
  <c r="AM15" i="65"/>
  <c r="AD114" i="65"/>
  <c r="AD113" i="65"/>
  <c r="AD112" i="65"/>
  <c r="AD111" i="65"/>
  <c r="AD110" i="65"/>
  <c r="AD109" i="65"/>
  <c r="AD108" i="65"/>
  <c r="AD107" i="65"/>
  <c r="AD106" i="65"/>
  <c r="AD105" i="65"/>
  <c r="AD104" i="65"/>
  <c r="AD103" i="65"/>
  <c r="AD102" i="65"/>
  <c r="AD101" i="65"/>
  <c r="AD100" i="65"/>
  <c r="AD99" i="65"/>
  <c r="AD98" i="65"/>
  <c r="AD97" i="65"/>
  <c r="AD96" i="65"/>
  <c r="AD95" i="65"/>
  <c r="AD94" i="65"/>
  <c r="AD93" i="65"/>
  <c r="AD92" i="65"/>
  <c r="AD91" i="65"/>
  <c r="AD90" i="65"/>
  <c r="AD89" i="65"/>
  <c r="AD88" i="65"/>
  <c r="AD87" i="65"/>
  <c r="AD86" i="65"/>
  <c r="AD85" i="65"/>
  <c r="AD84" i="65"/>
  <c r="AD83" i="65"/>
  <c r="AD82" i="65"/>
  <c r="AD81" i="65"/>
  <c r="AD80" i="65"/>
  <c r="AD79" i="65"/>
  <c r="AD78" i="65"/>
  <c r="AD77" i="65"/>
  <c r="AD76" i="65"/>
  <c r="AD75" i="65"/>
  <c r="AD74" i="65"/>
  <c r="AD73" i="65"/>
  <c r="AD72" i="65"/>
  <c r="AD71" i="65"/>
  <c r="AD70" i="65"/>
  <c r="AD69" i="65"/>
  <c r="AD68" i="65"/>
  <c r="AD67" i="65"/>
  <c r="AD66" i="65"/>
  <c r="AD65" i="65"/>
  <c r="AD64" i="65"/>
  <c r="AD63" i="65"/>
  <c r="AD62" i="65"/>
  <c r="AD61" i="65"/>
  <c r="AD60" i="65"/>
  <c r="AD59" i="65"/>
  <c r="AD58" i="65"/>
  <c r="AD57" i="65"/>
  <c r="AD56" i="65"/>
  <c r="AD55" i="65"/>
  <c r="AD54" i="65"/>
  <c r="AD53" i="65"/>
  <c r="AD52" i="65"/>
  <c r="AD51" i="65"/>
  <c r="AD50" i="65"/>
  <c r="AD49" i="65"/>
  <c r="AD48" i="65"/>
  <c r="AD47" i="65"/>
  <c r="AD46" i="65"/>
  <c r="AD45" i="65"/>
  <c r="AD44" i="65"/>
  <c r="AD43" i="65"/>
  <c r="AD42" i="65"/>
  <c r="AD41" i="65"/>
  <c r="AD40" i="65"/>
  <c r="AD39" i="65"/>
  <c r="AD38" i="65"/>
  <c r="AD37" i="65"/>
  <c r="AD36" i="65"/>
  <c r="AD35" i="65"/>
  <c r="AD34" i="65"/>
  <c r="AD33" i="65"/>
  <c r="AD32" i="65"/>
  <c r="AD31" i="65"/>
  <c r="AD30" i="65"/>
  <c r="AD29" i="65"/>
  <c r="AD28" i="65"/>
  <c r="AD27" i="65"/>
  <c r="AD26" i="65"/>
  <c r="AD25" i="65"/>
  <c r="AD24" i="65"/>
  <c r="AD23" i="65"/>
  <c r="AD22" i="65"/>
  <c r="AD21" i="65"/>
  <c r="AD20" i="65"/>
  <c r="AD19" i="65"/>
  <c r="AD18" i="65"/>
  <c r="AD17" i="65"/>
  <c r="AD16" i="65"/>
  <c r="AD15" i="65"/>
  <c r="U114" i="65"/>
  <c r="U113" i="65"/>
  <c r="U112" i="65"/>
  <c r="U111" i="65"/>
  <c r="U110" i="65"/>
  <c r="U109" i="65"/>
  <c r="U108" i="65"/>
  <c r="U107" i="65"/>
  <c r="U106" i="65"/>
  <c r="U105" i="65"/>
  <c r="U104" i="65"/>
  <c r="U103" i="65"/>
  <c r="U102" i="65"/>
  <c r="U101" i="65"/>
  <c r="U100" i="65"/>
  <c r="U99" i="65"/>
  <c r="U98" i="65"/>
  <c r="U97" i="65"/>
  <c r="U96" i="65"/>
  <c r="U95" i="65"/>
  <c r="U94" i="65"/>
  <c r="U93" i="65"/>
  <c r="U92" i="65"/>
  <c r="U91" i="65"/>
  <c r="U90" i="65"/>
  <c r="U89" i="65"/>
  <c r="U88" i="65"/>
  <c r="U87" i="65"/>
  <c r="U86" i="65"/>
  <c r="U85" i="65"/>
  <c r="U84" i="65"/>
  <c r="U83" i="65"/>
  <c r="U82" i="65"/>
  <c r="U81" i="65"/>
  <c r="U80" i="65"/>
  <c r="U79" i="65"/>
  <c r="U78" i="65"/>
  <c r="U77" i="65"/>
  <c r="U76" i="65"/>
  <c r="U75" i="65"/>
  <c r="U74" i="65"/>
  <c r="U73" i="65"/>
  <c r="U72" i="65"/>
  <c r="U71" i="65"/>
  <c r="U70" i="65"/>
  <c r="U69" i="65"/>
  <c r="U68" i="65"/>
  <c r="U67" i="65"/>
  <c r="U66" i="65"/>
  <c r="U65" i="65"/>
  <c r="U64" i="65"/>
  <c r="U63" i="65"/>
  <c r="U62" i="65"/>
  <c r="U61" i="65"/>
  <c r="U60" i="65"/>
  <c r="U59" i="65"/>
  <c r="U58" i="65"/>
  <c r="U57" i="65"/>
  <c r="U56" i="65"/>
  <c r="U55" i="65"/>
  <c r="U54" i="65"/>
  <c r="U53" i="65"/>
  <c r="U52" i="65"/>
  <c r="U51" i="65"/>
  <c r="U50" i="65"/>
  <c r="U49" i="65"/>
  <c r="U48" i="65"/>
  <c r="U47" i="65"/>
  <c r="U46" i="65"/>
  <c r="U45" i="65"/>
  <c r="U44" i="65"/>
  <c r="U43" i="65"/>
  <c r="U42" i="65"/>
  <c r="U41" i="65"/>
  <c r="U40" i="65"/>
  <c r="U39" i="65"/>
  <c r="U38" i="65"/>
  <c r="U37" i="65"/>
  <c r="U36" i="65"/>
  <c r="U35" i="65"/>
  <c r="U34" i="65"/>
  <c r="U33" i="65"/>
  <c r="U32" i="65"/>
  <c r="U31" i="65"/>
  <c r="U30" i="65"/>
  <c r="U29" i="65"/>
  <c r="U28" i="65"/>
  <c r="U27" i="65"/>
  <c r="U26" i="65"/>
  <c r="U25" i="65"/>
  <c r="U24" i="65"/>
  <c r="U23" i="65"/>
  <c r="U22" i="65"/>
  <c r="U21" i="65"/>
  <c r="U20" i="65"/>
  <c r="U19" i="65"/>
  <c r="U18" i="65"/>
  <c r="U17" i="65"/>
  <c r="U16" i="65"/>
  <c r="U15" i="65"/>
  <c r="L16" i="65"/>
  <c r="L17" i="65"/>
  <c r="L18" i="65"/>
  <c r="L19" i="65"/>
  <c r="L20" i="65"/>
  <c r="L21" i="65"/>
  <c r="L22" i="65"/>
  <c r="L23" i="65"/>
  <c r="L24" i="65"/>
  <c r="L25" i="65"/>
  <c r="L26" i="65"/>
  <c r="L27" i="65"/>
  <c r="L28" i="65"/>
  <c r="L29" i="65"/>
  <c r="L30" i="65"/>
  <c r="L31" i="65"/>
  <c r="L32" i="65"/>
  <c r="L33" i="65"/>
  <c r="L34" i="65"/>
  <c r="L35" i="65"/>
  <c r="L36" i="65"/>
  <c r="L37" i="65"/>
  <c r="L38" i="65"/>
  <c r="L39" i="65"/>
  <c r="L40" i="65"/>
  <c r="L41" i="65"/>
  <c r="L42" i="65"/>
  <c r="L43" i="65"/>
  <c r="L44" i="65"/>
  <c r="L45" i="65"/>
  <c r="L46" i="65"/>
  <c r="L47" i="65"/>
  <c r="L48" i="65"/>
  <c r="L49" i="65"/>
  <c r="L50" i="65"/>
  <c r="L51" i="65"/>
  <c r="L52" i="65"/>
  <c r="L53" i="65"/>
  <c r="L54" i="65"/>
  <c r="L55" i="65"/>
  <c r="L56" i="65"/>
  <c r="L57" i="65"/>
  <c r="L58" i="65"/>
  <c r="L59" i="65"/>
  <c r="L60" i="65"/>
  <c r="L61" i="65"/>
  <c r="L62" i="65"/>
  <c r="L63" i="65"/>
  <c r="L64" i="65"/>
  <c r="L65" i="65"/>
  <c r="L66" i="65"/>
  <c r="L67" i="65"/>
  <c r="L68" i="65"/>
  <c r="L69" i="65"/>
  <c r="L70" i="65"/>
  <c r="L71" i="65"/>
  <c r="L72" i="65"/>
  <c r="L73" i="65"/>
  <c r="L74" i="65"/>
  <c r="L75" i="65"/>
  <c r="L76" i="65"/>
  <c r="L77" i="65"/>
  <c r="L78" i="65"/>
  <c r="L79" i="65"/>
  <c r="L80" i="65"/>
  <c r="L81" i="65"/>
  <c r="L82" i="65"/>
  <c r="L83" i="65"/>
  <c r="L84" i="65"/>
  <c r="L85" i="65"/>
  <c r="L86" i="65"/>
  <c r="L87" i="65"/>
  <c r="L88" i="65"/>
  <c r="L89" i="65"/>
  <c r="L90" i="65"/>
  <c r="L91" i="65"/>
  <c r="L92" i="65"/>
  <c r="L93" i="65"/>
  <c r="L94" i="65"/>
  <c r="L95" i="65"/>
  <c r="L96" i="65"/>
  <c r="L97" i="65"/>
  <c r="L98" i="65"/>
  <c r="L99" i="65"/>
  <c r="L100" i="65"/>
  <c r="L101" i="65"/>
  <c r="L102" i="65"/>
  <c r="L103" i="65"/>
  <c r="L104" i="65"/>
  <c r="L105" i="65"/>
  <c r="L106" i="65"/>
  <c r="L107" i="65"/>
  <c r="L108" i="65"/>
  <c r="L109" i="65"/>
  <c r="L110" i="65"/>
  <c r="L111" i="65"/>
  <c r="L112" i="65"/>
  <c r="L113" i="65"/>
  <c r="L114" i="65"/>
  <c r="L15" i="65"/>
  <c r="K28" i="37"/>
  <c r="K22" i="37"/>
  <c r="K21" i="37"/>
  <c r="C12" i="1"/>
  <c r="G23" i="66"/>
  <c r="C24" i="66"/>
  <c r="C23" i="66"/>
  <c r="D12" i="65"/>
  <c r="AR114" i="65"/>
  <c r="AI114" i="65"/>
  <c r="Z114" i="65"/>
  <c r="Q114" i="65"/>
  <c r="H114" i="65"/>
  <c r="AR113" i="65"/>
  <c r="AI113" i="65"/>
  <c r="Z113" i="65"/>
  <c r="Q113" i="65"/>
  <c r="H113" i="65"/>
  <c r="AR112" i="65"/>
  <c r="AI112" i="65"/>
  <c r="Z112" i="65"/>
  <c r="Q112" i="65"/>
  <c r="H112" i="65"/>
  <c r="AR111" i="65"/>
  <c r="AI111" i="65"/>
  <c r="Z111" i="65"/>
  <c r="Q111" i="65"/>
  <c r="H111" i="65"/>
  <c r="AR110" i="65"/>
  <c r="AI110" i="65"/>
  <c r="Z110" i="65"/>
  <c r="Q110" i="65"/>
  <c r="H110" i="65"/>
  <c r="AR109" i="65"/>
  <c r="AI109" i="65"/>
  <c r="Z109" i="65"/>
  <c r="Q109" i="65"/>
  <c r="H109" i="65"/>
  <c r="AR108" i="65"/>
  <c r="AI108" i="65"/>
  <c r="Z108" i="65"/>
  <c r="Q108" i="65"/>
  <c r="H108" i="65"/>
  <c r="AR107" i="65"/>
  <c r="AI107" i="65"/>
  <c r="Z107" i="65"/>
  <c r="Q107" i="65"/>
  <c r="H107" i="65"/>
  <c r="AR106" i="65"/>
  <c r="AI106" i="65"/>
  <c r="Z106" i="65"/>
  <c r="Q106" i="65"/>
  <c r="H106" i="65"/>
  <c r="AR105" i="65"/>
  <c r="AI105" i="65"/>
  <c r="Z105" i="65"/>
  <c r="Q105" i="65"/>
  <c r="H105" i="65"/>
  <c r="AR104" i="65"/>
  <c r="AI104" i="65"/>
  <c r="Z104" i="65"/>
  <c r="Q104" i="65"/>
  <c r="H104" i="65"/>
  <c r="AR103" i="65"/>
  <c r="AI103" i="65"/>
  <c r="Z103" i="65"/>
  <c r="Q103" i="65"/>
  <c r="H103" i="65"/>
  <c r="AR102" i="65"/>
  <c r="AI102" i="65"/>
  <c r="Z102" i="65"/>
  <c r="Q102" i="65"/>
  <c r="H102" i="65"/>
  <c r="AR101" i="65"/>
  <c r="AI101" i="65"/>
  <c r="Z101" i="65"/>
  <c r="Q101" i="65"/>
  <c r="H101" i="65"/>
  <c r="AR100" i="65"/>
  <c r="AI100" i="65"/>
  <c r="Z100" i="65"/>
  <c r="Q100" i="65"/>
  <c r="H100" i="65"/>
  <c r="AR99" i="65"/>
  <c r="AI99" i="65"/>
  <c r="Z99" i="65"/>
  <c r="Q99" i="65"/>
  <c r="H99" i="65"/>
  <c r="AR98" i="65"/>
  <c r="AI98" i="65"/>
  <c r="Z98" i="65"/>
  <c r="Q98" i="65"/>
  <c r="H98" i="65"/>
  <c r="AR97" i="65"/>
  <c r="AI97" i="65"/>
  <c r="Z97" i="65"/>
  <c r="Q97" i="65"/>
  <c r="H97" i="65"/>
  <c r="AR96" i="65"/>
  <c r="AI96" i="65"/>
  <c r="Z96" i="65"/>
  <c r="Q96" i="65"/>
  <c r="H96" i="65"/>
  <c r="AR95" i="65"/>
  <c r="AI95" i="65"/>
  <c r="Z95" i="65"/>
  <c r="Q95" i="65"/>
  <c r="H95" i="65"/>
  <c r="AR94" i="65"/>
  <c r="AI94" i="65"/>
  <c r="Z94" i="65"/>
  <c r="Q94" i="65"/>
  <c r="H94" i="65"/>
  <c r="AR93" i="65"/>
  <c r="AI93" i="65"/>
  <c r="Z93" i="65"/>
  <c r="Q93" i="65"/>
  <c r="H93" i="65"/>
  <c r="AR92" i="65"/>
  <c r="AI92" i="65"/>
  <c r="Z92" i="65"/>
  <c r="Q92" i="65"/>
  <c r="H92" i="65"/>
  <c r="AR91" i="65"/>
  <c r="AI91" i="65"/>
  <c r="Z91" i="65"/>
  <c r="Q91" i="65"/>
  <c r="H91" i="65"/>
  <c r="AR90" i="65"/>
  <c r="AI90" i="65"/>
  <c r="Z90" i="65"/>
  <c r="Q90" i="65"/>
  <c r="H90" i="65"/>
  <c r="AR89" i="65"/>
  <c r="AI89" i="65"/>
  <c r="Z89" i="65"/>
  <c r="Q89" i="65"/>
  <c r="H89" i="65"/>
  <c r="AR88" i="65"/>
  <c r="AI88" i="65"/>
  <c r="Z88" i="65"/>
  <c r="Q88" i="65"/>
  <c r="H88" i="65"/>
  <c r="AR87" i="65"/>
  <c r="AI87" i="65"/>
  <c r="Z87" i="65"/>
  <c r="Q87" i="65"/>
  <c r="H87" i="65"/>
  <c r="AR86" i="65"/>
  <c r="AI86" i="65"/>
  <c r="Z86" i="65"/>
  <c r="Q86" i="65"/>
  <c r="H86" i="65"/>
  <c r="AR85" i="65"/>
  <c r="AI85" i="65"/>
  <c r="Z85" i="65"/>
  <c r="Q85" i="65"/>
  <c r="H85" i="65"/>
  <c r="AR84" i="65"/>
  <c r="AI84" i="65"/>
  <c r="Z84" i="65"/>
  <c r="Q84" i="65"/>
  <c r="H84" i="65"/>
  <c r="AR83" i="65"/>
  <c r="AI83" i="65"/>
  <c r="Z83" i="65"/>
  <c r="Q83" i="65"/>
  <c r="H83" i="65"/>
  <c r="AR82" i="65"/>
  <c r="AI82" i="65"/>
  <c r="Z82" i="65"/>
  <c r="Q82" i="65"/>
  <c r="H82" i="65"/>
  <c r="AR81" i="65"/>
  <c r="AI81" i="65"/>
  <c r="Z81" i="65"/>
  <c r="Q81" i="65"/>
  <c r="H81" i="65"/>
  <c r="AR80" i="65"/>
  <c r="AI80" i="65"/>
  <c r="Z80" i="65"/>
  <c r="Q80" i="65"/>
  <c r="H80" i="65"/>
  <c r="AR79" i="65"/>
  <c r="AI79" i="65"/>
  <c r="Z79" i="65"/>
  <c r="Q79" i="65"/>
  <c r="H79" i="65"/>
  <c r="AR78" i="65"/>
  <c r="AI78" i="65"/>
  <c r="Z78" i="65"/>
  <c r="Q78" i="65"/>
  <c r="H78" i="65"/>
  <c r="AR77" i="65"/>
  <c r="AI77" i="65"/>
  <c r="Z77" i="65"/>
  <c r="Q77" i="65"/>
  <c r="H77" i="65"/>
  <c r="AR76" i="65"/>
  <c r="AI76" i="65"/>
  <c r="Z76" i="65"/>
  <c r="Q76" i="65"/>
  <c r="H76" i="65"/>
  <c r="AR75" i="65"/>
  <c r="AI75" i="65"/>
  <c r="Z75" i="65"/>
  <c r="Q75" i="65"/>
  <c r="H75" i="65"/>
  <c r="AR74" i="65"/>
  <c r="AI74" i="65"/>
  <c r="Z74" i="65"/>
  <c r="Q74" i="65"/>
  <c r="H74" i="65"/>
  <c r="AR73" i="65"/>
  <c r="AI73" i="65"/>
  <c r="Z73" i="65"/>
  <c r="Q73" i="65"/>
  <c r="H73" i="65"/>
  <c r="AR72" i="65"/>
  <c r="AI72" i="65"/>
  <c r="Z72" i="65"/>
  <c r="Q72" i="65"/>
  <c r="H72" i="65"/>
  <c r="AR71" i="65"/>
  <c r="AI71" i="65"/>
  <c r="Z71" i="65"/>
  <c r="Q71" i="65"/>
  <c r="H71" i="65"/>
  <c r="AR70" i="65"/>
  <c r="AI70" i="65"/>
  <c r="Z70" i="65"/>
  <c r="Q70" i="65"/>
  <c r="H70" i="65"/>
  <c r="AR69" i="65"/>
  <c r="AI69" i="65"/>
  <c r="Z69" i="65"/>
  <c r="Q69" i="65"/>
  <c r="H69" i="65"/>
  <c r="AR68" i="65"/>
  <c r="AI68" i="65"/>
  <c r="Z68" i="65"/>
  <c r="Q68" i="65"/>
  <c r="H68" i="65"/>
  <c r="AR67" i="65"/>
  <c r="AI67" i="65"/>
  <c r="Z67" i="65"/>
  <c r="Q67" i="65"/>
  <c r="H67" i="65"/>
  <c r="AR66" i="65"/>
  <c r="AI66" i="65"/>
  <c r="Z66" i="65"/>
  <c r="Q66" i="65"/>
  <c r="H66" i="65"/>
  <c r="AR65" i="65"/>
  <c r="AI65" i="65"/>
  <c r="Z65" i="65"/>
  <c r="Q65" i="65"/>
  <c r="H65" i="65"/>
  <c r="AR64" i="65"/>
  <c r="AI64" i="65"/>
  <c r="Z64" i="65"/>
  <c r="Q64" i="65"/>
  <c r="H64" i="65"/>
  <c r="AR63" i="65"/>
  <c r="AI63" i="65"/>
  <c r="Z63" i="65"/>
  <c r="Q63" i="65"/>
  <c r="H63" i="65"/>
  <c r="AR62" i="65"/>
  <c r="AI62" i="65"/>
  <c r="Z62" i="65"/>
  <c r="Q62" i="65"/>
  <c r="H62" i="65"/>
  <c r="AR61" i="65"/>
  <c r="AI61" i="65"/>
  <c r="Z61" i="65"/>
  <c r="Q61" i="65"/>
  <c r="H61" i="65"/>
  <c r="AR60" i="65"/>
  <c r="AI60" i="65"/>
  <c r="Z60" i="65"/>
  <c r="Q60" i="65"/>
  <c r="H60" i="65"/>
  <c r="AR59" i="65"/>
  <c r="AI59" i="65"/>
  <c r="Z59" i="65"/>
  <c r="Q59" i="65"/>
  <c r="H59" i="65"/>
  <c r="AR58" i="65"/>
  <c r="AI58" i="65"/>
  <c r="Z58" i="65"/>
  <c r="Q58" i="65"/>
  <c r="H58" i="65"/>
  <c r="AR57" i="65"/>
  <c r="AI57" i="65"/>
  <c r="Z57" i="65"/>
  <c r="Q57" i="65"/>
  <c r="H57" i="65"/>
  <c r="AR56" i="65"/>
  <c r="AI56" i="65"/>
  <c r="Z56" i="65"/>
  <c r="Q56" i="65"/>
  <c r="H56" i="65"/>
  <c r="AR55" i="65"/>
  <c r="AI55" i="65"/>
  <c r="Z55" i="65"/>
  <c r="Q55" i="65"/>
  <c r="H55" i="65"/>
  <c r="AR54" i="65"/>
  <c r="AI54" i="65"/>
  <c r="Z54" i="65"/>
  <c r="Q54" i="65"/>
  <c r="H54" i="65"/>
  <c r="AR53" i="65"/>
  <c r="AI53" i="65"/>
  <c r="Z53" i="65"/>
  <c r="Q53" i="65"/>
  <c r="H53" i="65"/>
  <c r="AR52" i="65"/>
  <c r="AI52" i="65"/>
  <c r="Z52" i="65"/>
  <c r="Q52" i="65"/>
  <c r="H52" i="65"/>
  <c r="AR51" i="65"/>
  <c r="AI51" i="65"/>
  <c r="Z51" i="65"/>
  <c r="Q51" i="65"/>
  <c r="H51" i="65"/>
  <c r="AR50" i="65"/>
  <c r="AI50" i="65"/>
  <c r="Z50" i="65"/>
  <c r="Q50" i="65"/>
  <c r="H50" i="65"/>
  <c r="AR49" i="65"/>
  <c r="AI49" i="65"/>
  <c r="Z49" i="65"/>
  <c r="Q49" i="65"/>
  <c r="H49" i="65"/>
  <c r="AR48" i="65"/>
  <c r="AI48" i="65"/>
  <c r="Z48" i="65"/>
  <c r="Q48" i="65"/>
  <c r="H48" i="65"/>
  <c r="AR47" i="65"/>
  <c r="AI47" i="65"/>
  <c r="Z47" i="65"/>
  <c r="Q47" i="65"/>
  <c r="H47" i="65"/>
  <c r="AR46" i="65"/>
  <c r="AI46" i="65"/>
  <c r="Z46" i="65"/>
  <c r="Q46" i="65"/>
  <c r="H46" i="65"/>
  <c r="AR45" i="65"/>
  <c r="AI45" i="65"/>
  <c r="Z45" i="65"/>
  <c r="Q45" i="65"/>
  <c r="H45" i="65"/>
  <c r="AR44" i="65"/>
  <c r="AI44" i="65"/>
  <c r="Z44" i="65"/>
  <c r="Q44" i="65"/>
  <c r="H44" i="65"/>
  <c r="AR43" i="65"/>
  <c r="AI43" i="65"/>
  <c r="Z43" i="65"/>
  <c r="Q43" i="65"/>
  <c r="H43" i="65"/>
  <c r="AR42" i="65"/>
  <c r="AI42" i="65"/>
  <c r="Z42" i="65"/>
  <c r="Q42" i="65"/>
  <c r="H42" i="65"/>
  <c r="AR41" i="65"/>
  <c r="AI41" i="65"/>
  <c r="Z41" i="65"/>
  <c r="Q41" i="65"/>
  <c r="H41" i="65"/>
  <c r="AR40" i="65"/>
  <c r="AI40" i="65"/>
  <c r="Z40" i="65"/>
  <c r="Q40" i="65"/>
  <c r="H40" i="65"/>
  <c r="AR39" i="65"/>
  <c r="AI39" i="65"/>
  <c r="Z39" i="65"/>
  <c r="Q39" i="65"/>
  <c r="H39" i="65"/>
  <c r="AR38" i="65"/>
  <c r="AI38" i="65"/>
  <c r="Z38" i="65"/>
  <c r="Q38" i="65"/>
  <c r="H38" i="65"/>
  <c r="AR37" i="65"/>
  <c r="AI37" i="65"/>
  <c r="Z37" i="65"/>
  <c r="Q37" i="65"/>
  <c r="H37" i="65"/>
  <c r="AR36" i="65"/>
  <c r="AI36" i="65"/>
  <c r="Z36" i="65"/>
  <c r="Q36" i="65"/>
  <c r="H36" i="65"/>
  <c r="AR35" i="65"/>
  <c r="AI35" i="65"/>
  <c r="Z35" i="65"/>
  <c r="Q35" i="65"/>
  <c r="H35" i="65"/>
  <c r="AR34" i="65"/>
  <c r="AI34" i="65"/>
  <c r="Z34" i="65"/>
  <c r="Q34" i="65"/>
  <c r="H34" i="65"/>
  <c r="AR33" i="65"/>
  <c r="AI33" i="65"/>
  <c r="Z33" i="65"/>
  <c r="Q33" i="65"/>
  <c r="H33" i="65"/>
  <c r="AR32" i="65"/>
  <c r="AI32" i="65"/>
  <c r="Z32" i="65"/>
  <c r="Q32" i="65"/>
  <c r="H32" i="65"/>
  <c r="AR31" i="65"/>
  <c r="AI31" i="65"/>
  <c r="Z31" i="65"/>
  <c r="Q31" i="65"/>
  <c r="H31" i="65"/>
  <c r="AR30" i="65"/>
  <c r="AI30" i="65"/>
  <c r="Z30" i="65"/>
  <c r="Q30" i="65"/>
  <c r="H30" i="65"/>
  <c r="AR29" i="65"/>
  <c r="AI29" i="65"/>
  <c r="Z29" i="65"/>
  <c r="Q29" i="65"/>
  <c r="H29" i="65"/>
  <c r="AR28" i="65"/>
  <c r="AI28" i="65"/>
  <c r="Z28" i="65"/>
  <c r="Q28" i="65"/>
  <c r="H28" i="65"/>
  <c r="AR27" i="65"/>
  <c r="AI27" i="65"/>
  <c r="Z27" i="65"/>
  <c r="Q27" i="65"/>
  <c r="H27" i="65"/>
  <c r="AR26" i="65"/>
  <c r="AI26" i="65"/>
  <c r="Z26" i="65"/>
  <c r="Q26" i="65"/>
  <c r="H26" i="65"/>
  <c r="AR25" i="65"/>
  <c r="AI25" i="65"/>
  <c r="Z25" i="65"/>
  <c r="Q25" i="65"/>
  <c r="H25" i="65"/>
  <c r="AR24" i="65"/>
  <c r="AI24" i="65"/>
  <c r="Z24" i="65"/>
  <c r="Q24" i="65"/>
  <c r="H24" i="65"/>
  <c r="AR23" i="65"/>
  <c r="AI23" i="65"/>
  <c r="Z23" i="65"/>
  <c r="Q23" i="65"/>
  <c r="H23" i="65"/>
  <c r="AR22" i="65"/>
  <c r="AI22" i="65"/>
  <c r="Z22" i="65"/>
  <c r="Q22" i="65"/>
  <c r="H22" i="65"/>
  <c r="AR21" i="65"/>
  <c r="AI21" i="65"/>
  <c r="Z21" i="65"/>
  <c r="Q21" i="65"/>
  <c r="H21" i="65"/>
  <c r="AR20" i="65"/>
  <c r="AI20" i="65"/>
  <c r="Z20" i="65"/>
  <c r="Q20" i="65"/>
  <c r="H20" i="65"/>
  <c r="AR19" i="65"/>
  <c r="AI19" i="65"/>
  <c r="Z19" i="65"/>
  <c r="Q19" i="65"/>
  <c r="H19" i="65"/>
  <c r="AR18" i="65"/>
  <c r="AI18" i="65"/>
  <c r="Z18" i="65"/>
  <c r="Q18" i="65"/>
  <c r="H18" i="65"/>
  <c r="AR17" i="65"/>
  <c r="AI17" i="65"/>
  <c r="Z17" i="65"/>
  <c r="Q17" i="65"/>
  <c r="H17" i="65"/>
  <c r="AR16" i="65"/>
  <c r="AI16" i="65"/>
  <c r="Z16" i="65"/>
  <c r="Q16" i="65"/>
  <c r="H16" i="65"/>
  <c r="A16" i="65"/>
  <c r="A17" i="65" s="1"/>
  <c r="A18" i="65" s="1"/>
  <c r="A19" i="65" s="1"/>
  <c r="A20" i="65" s="1"/>
  <c r="A21" i="65" s="1"/>
  <c r="A22" i="65" s="1"/>
  <c r="A23" i="65" s="1"/>
  <c r="A24" i="65" s="1"/>
  <c r="A25" i="65" s="1"/>
  <c r="A26" i="65" s="1"/>
  <c r="A27" i="65" s="1"/>
  <c r="A28" i="65" s="1"/>
  <c r="A29" i="65" s="1"/>
  <c r="A30" i="65" s="1"/>
  <c r="A31" i="65" s="1"/>
  <c r="A32" i="65" s="1"/>
  <c r="A33" i="65" s="1"/>
  <c r="A34" i="65" s="1"/>
  <c r="A35" i="65" s="1"/>
  <c r="A36" i="65" s="1"/>
  <c r="A37" i="65" s="1"/>
  <c r="A38" i="65" s="1"/>
  <c r="A39" i="65" s="1"/>
  <c r="A40" i="65" s="1"/>
  <c r="A41" i="65" s="1"/>
  <c r="A42" i="65" s="1"/>
  <c r="A43" i="65" s="1"/>
  <c r="A44" i="65" s="1"/>
  <c r="A45" i="65" s="1"/>
  <c r="A46" i="65" s="1"/>
  <c r="A47" i="65" s="1"/>
  <c r="A48" i="65" s="1"/>
  <c r="A49" i="65" s="1"/>
  <c r="A50" i="65" s="1"/>
  <c r="A51" i="65" s="1"/>
  <c r="A52" i="65" s="1"/>
  <c r="A53" i="65" s="1"/>
  <c r="A54" i="65" s="1"/>
  <c r="A55" i="65" s="1"/>
  <c r="A56" i="65" s="1"/>
  <c r="A57" i="65" s="1"/>
  <c r="A58" i="65" s="1"/>
  <c r="A59" i="65" s="1"/>
  <c r="A60" i="65" s="1"/>
  <c r="A61" i="65" s="1"/>
  <c r="A62" i="65" s="1"/>
  <c r="A63" i="65" s="1"/>
  <c r="A64" i="65" s="1"/>
  <c r="A65" i="65" s="1"/>
  <c r="A66" i="65" s="1"/>
  <c r="A67" i="65" s="1"/>
  <c r="A68" i="65" s="1"/>
  <c r="A69" i="65" s="1"/>
  <c r="A70" i="65" s="1"/>
  <c r="A71" i="65" s="1"/>
  <c r="A72" i="65" s="1"/>
  <c r="A73" i="65" s="1"/>
  <c r="A74" i="65" s="1"/>
  <c r="A75" i="65" s="1"/>
  <c r="A76" i="65" s="1"/>
  <c r="A77" i="65" s="1"/>
  <c r="A78" i="65" s="1"/>
  <c r="A79" i="65" s="1"/>
  <c r="A80" i="65" s="1"/>
  <c r="A81" i="65" s="1"/>
  <c r="A82" i="65" s="1"/>
  <c r="A83" i="65" s="1"/>
  <c r="A84" i="65" s="1"/>
  <c r="A85" i="65" s="1"/>
  <c r="A86" i="65" s="1"/>
  <c r="A87" i="65" s="1"/>
  <c r="A88" i="65" s="1"/>
  <c r="A89" i="65" s="1"/>
  <c r="A90" i="65" s="1"/>
  <c r="A91" i="65" s="1"/>
  <c r="A92" i="65" s="1"/>
  <c r="A93" i="65" s="1"/>
  <c r="A94" i="65" s="1"/>
  <c r="A95" i="65" s="1"/>
  <c r="A96" i="65" s="1"/>
  <c r="A97" i="65" s="1"/>
  <c r="A98" i="65" s="1"/>
  <c r="A99" i="65" s="1"/>
  <c r="A100" i="65" s="1"/>
  <c r="A101" i="65" s="1"/>
  <c r="A102" i="65" s="1"/>
  <c r="A103" i="65" s="1"/>
  <c r="A104" i="65" s="1"/>
  <c r="A105" i="65" s="1"/>
  <c r="A106" i="65" s="1"/>
  <c r="A107" i="65" s="1"/>
  <c r="A108" i="65" s="1"/>
  <c r="A109" i="65" s="1"/>
  <c r="A110" i="65" s="1"/>
  <c r="A111" i="65" s="1"/>
  <c r="A112" i="65" s="1"/>
  <c r="A113" i="65" s="1"/>
  <c r="A114" i="65" s="1"/>
  <c r="AR15" i="65"/>
  <c r="AI15" i="65"/>
  <c r="Z15" i="65"/>
  <c r="Q15" i="65"/>
  <c r="H15" i="65"/>
  <c r="AQ12" i="65"/>
  <c r="AP12" i="65"/>
  <c r="AO12" i="65"/>
  <c r="AN12" i="65"/>
  <c r="AH12" i="65"/>
  <c r="AG12" i="65"/>
  <c r="AF12" i="65"/>
  <c r="AE12" i="65"/>
  <c r="Y12" i="65"/>
  <c r="X12" i="65"/>
  <c r="W12" i="65"/>
  <c r="V12" i="65"/>
  <c r="P12" i="65"/>
  <c r="O12" i="65"/>
  <c r="N12" i="65"/>
  <c r="M12" i="65"/>
  <c r="G12" i="65"/>
  <c r="F12" i="65"/>
  <c r="E12" i="65"/>
  <c r="AO10" i="65"/>
  <c r="W7" i="65" s="1"/>
  <c r="AF10" i="65"/>
  <c r="U7" i="65" s="1"/>
  <c r="W10" i="65"/>
  <c r="S7" i="65" s="1"/>
  <c r="N10" i="65"/>
  <c r="Q7" i="65" s="1"/>
  <c r="E10" i="65"/>
  <c r="O7" i="65" s="1"/>
  <c r="AI8" i="65"/>
  <c r="E8" i="65"/>
  <c r="AI7" i="65"/>
  <c r="E7" i="65"/>
  <c r="AI6" i="65"/>
  <c r="E6" i="65"/>
  <c r="A5" i="65"/>
  <c r="AI4" i="65"/>
  <c r="M4" i="65"/>
  <c r="A3" i="65"/>
  <c r="D9" i="51"/>
  <c r="J17" i="51" s="1"/>
  <c r="D6" i="51"/>
  <c r="G16" i="51" s="1"/>
  <c r="D7" i="51"/>
  <c r="H19" i="51" s="1"/>
  <c r="D8" i="51"/>
  <c r="I14" i="51" s="1"/>
  <c r="D5" i="51"/>
  <c r="E30" i="37"/>
  <c r="F30" i="37"/>
  <c r="G30" i="37"/>
  <c r="H30" i="37"/>
  <c r="I30" i="37"/>
  <c r="J30" i="37"/>
  <c r="D30" i="37"/>
  <c r="C34" i="1"/>
  <c r="D34" i="1"/>
  <c r="E34" i="1"/>
  <c r="F34" i="1"/>
  <c r="A37" i="1"/>
  <c r="L19" i="37" l="1"/>
  <c r="H62" i="51"/>
  <c r="J60" i="51"/>
  <c r="G59" i="51"/>
  <c r="I57" i="51"/>
  <c r="H54" i="51"/>
  <c r="J52" i="51"/>
  <c r="G51" i="51"/>
  <c r="I49" i="51"/>
  <c r="H46" i="51"/>
  <c r="J44" i="51"/>
  <c r="G43" i="51"/>
  <c r="I41" i="51"/>
  <c r="H38" i="51"/>
  <c r="J36" i="51"/>
  <c r="G35" i="51"/>
  <c r="I33" i="51"/>
  <c r="H30" i="51"/>
  <c r="J28" i="51"/>
  <c r="G27" i="51"/>
  <c r="I25" i="51"/>
  <c r="H22" i="51"/>
  <c r="J20" i="51"/>
  <c r="G19" i="51"/>
  <c r="I17" i="51"/>
  <c r="H14" i="51"/>
  <c r="G62" i="51"/>
  <c r="I60" i="51"/>
  <c r="H57" i="51"/>
  <c r="J55" i="51"/>
  <c r="G54" i="51"/>
  <c r="I52" i="51"/>
  <c r="H49" i="51"/>
  <c r="J47" i="51"/>
  <c r="G46" i="51"/>
  <c r="I44" i="51"/>
  <c r="H41" i="51"/>
  <c r="J39" i="51"/>
  <c r="G38" i="51"/>
  <c r="I36" i="51"/>
  <c r="H33" i="51"/>
  <c r="J31" i="51"/>
  <c r="G30" i="51"/>
  <c r="I28" i="51"/>
  <c r="H25" i="51"/>
  <c r="J23" i="51"/>
  <c r="G22" i="51"/>
  <c r="I20" i="51"/>
  <c r="H17" i="51"/>
  <c r="J15" i="51"/>
  <c r="G14" i="51"/>
  <c r="J42" i="51"/>
  <c r="H12" i="51"/>
  <c r="J61" i="51"/>
  <c r="G60" i="51"/>
  <c r="I58" i="51"/>
  <c r="H55" i="51"/>
  <c r="J53" i="51"/>
  <c r="G52" i="51"/>
  <c r="I50" i="51"/>
  <c r="H47" i="51"/>
  <c r="J45" i="51"/>
  <c r="G44" i="51"/>
  <c r="I42" i="51"/>
  <c r="H39" i="51"/>
  <c r="J37" i="51"/>
  <c r="G36" i="51"/>
  <c r="I34" i="51"/>
  <c r="H31" i="51"/>
  <c r="J29" i="51"/>
  <c r="G28" i="51"/>
  <c r="I26" i="51"/>
  <c r="H23" i="51"/>
  <c r="J21" i="51"/>
  <c r="G20" i="51"/>
  <c r="I18" i="51"/>
  <c r="H15" i="51"/>
  <c r="J13" i="51"/>
  <c r="J18" i="51"/>
  <c r="I12" i="51"/>
  <c r="I61" i="51"/>
  <c r="H58" i="51"/>
  <c r="J56" i="51"/>
  <c r="G55" i="51"/>
  <c r="I53" i="51"/>
  <c r="H50" i="51"/>
  <c r="J48" i="51"/>
  <c r="G47" i="51"/>
  <c r="I45" i="51"/>
  <c r="H42" i="51"/>
  <c r="J40" i="51"/>
  <c r="G39" i="51"/>
  <c r="I37" i="51"/>
  <c r="H34" i="51"/>
  <c r="J32" i="51"/>
  <c r="G31" i="51"/>
  <c r="I29" i="51"/>
  <c r="H26" i="51"/>
  <c r="J24" i="51"/>
  <c r="G23" i="51"/>
  <c r="I21" i="51"/>
  <c r="H18" i="51"/>
  <c r="J16" i="51"/>
  <c r="G15" i="51"/>
  <c r="I13" i="51"/>
  <c r="J12" i="51"/>
  <c r="H61" i="51"/>
  <c r="J59" i="51"/>
  <c r="G58" i="51"/>
  <c r="I56" i="51"/>
  <c r="H53" i="51"/>
  <c r="J51" i="51"/>
  <c r="G50" i="51"/>
  <c r="I48" i="51"/>
  <c r="H45" i="51"/>
  <c r="J43" i="51"/>
  <c r="G42" i="51"/>
  <c r="I40" i="51"/>
  <c r="H37" i="51"/>
  <c r="J35" i="51"/>
  <c r="G34" i="51"/>
  <c r="I32" i="51"/>
  <c r="H29" i="51"/>
  <c r="J27" i="51"/>
  <c r="G26" i="51"/>
  <c r="I24" i="51"/>
  <c r="H21" i="51"/>
  <c r="J19" i="51"/>
  <c r="G18" i="51"/>
  <c r="I16" i="51"/>
  <c r="H13" i="51"/>
  <c r="J34" i="51"/>
  <c r="J26" i="51"/>
  <c r="J62" i="51"/>
  <c r="G61" i="51"/>
  <c r="I59" i="51"/>
  <c r="H56" i="51"/>
  <c r="J54" i="51"/>
  <c r="G53" i="51"/>
  <c r="I51" i="51"/>
  <c r="H48" i="51"/>
  <c r="J46" i="51"/>
  <c r="G45" i="51"/>
  <c r="I43" i="51"/>
  <c r="H40" i="51"/>
  <c r="J38" i="51"/>
  <c r="G37" i="51"/>
  <c r="I35" i="51"/>
  <c r="H32" i="51"/>
  <c r="J30" i="51"/>
  <c r="G29" i="51"/>
  <c r="I27" i="51"/>
  <c r="H24" i="51"/>
  <c r="J22" i="51"/>
  <c r="G21" i="51"/>
  <c r="I19" i="51"/>
  <c r="H16" i="51"/>
  <c r="J14" i="51"/>
  <c r="G13" i="51"/>
  <c r="J58" i="51"/>
  <c r="I62" i="51"/>
  <c r="H59" i="51"/>
  <c r="J57" i="51"/>
  <c r="G56" i="51"/>
  <c r="I54" i="51"/>
  <c r="H51" i="51"/>
  <c r="J49" i="51"/>
  <c r="G48" i="51"/>
  <c r="I46" i="51"/>
  <c r="H43" i="51"/>
  <c r="J41" i="51"/>
  <c r="G40" i="51"/>
  <c r="I38" i="51"/>
  <c r="H35" i="51"/>
  <c r="J33" i="51"/>
  <c r="G32" i="51"/>
  <c r="I30" i="51"/>
  <c r="H27" i="51"/>
  <c r="J25" i="51"/>
  <c r="G24" i="51"/>
  <c r="I22" i="51"/>
  <c r="D23" i="66"/>
  <c r="D24" i="66" s="1"/>
  <c r="D25" i="66" s="1"/>
  <c r="B15" i="65"/>
  <c r="B15" i="23"/>
  <c r="B20" i="20"/>
  <c r="B16" i="65"/>
  <c r="B16" i="23"/>
  <c r="B21" i="20"/>
  <c r="H23" i="66"/>
  <c r="C20" i="20"/>
  <c r="C25" i="66"/>
  <c r="G24" i="66"/>
  <c r="C15" i="65"/>
  <c r="H12" i="65"/>
  <c r="AI12" i="65"/>
  <c r="AA15" i="65"/>
  <c r="K15" i="65"/>
  <c r="AR12" i="65"/>
  <c r="Z12" i="65"/>
  <c r="Q12" i="65"/>
  <c r="AB15" i="65"/>
  <c r="AC15" i="65"/>
  <c r="AS15" i="65"/>
  <c r="R15" i="65"/>
  <c r="AT15" i="65"/>
  <c r="S15" i="65"/>
  <c r="AU15" i="65"/>
  <c r="T15" i="65"/>
  <c r="AJ15" i="65"/>
  <c r="I15" i="65"/>
  <c r="AK15" i="65"/>
  <c r="J15" i="65"/>
  <c r="AL15" i="65"/>
  <c r="AC16" i="65" l="1"/>
  <c r="AK16" i="65"/>
  <c r="H24" i="66"/>
  <c r="C16" i="65"/>
  <c r="C21" i="20"/>
  <c r="G25" i="66"/>
  <c r="B17" i="23"/>
  <c r="B22" i="20"/>
  <c r="B17" i="65"/>
  <c r="I17" i="65" s="1"/>
  <c r="C26" i="66"/>
  <c r="D26" i="66"/>
  <c r="C64" i="51" a="1"/>
  <c r="C64" i="51" s="1"/>
  <c r="S16" i="65"/>
  <c r="K16" i="65"/>
  <c r="R16" i="65"/>
  <c r="AB16" i="65"/>
  <c r="AS16" i="65"/>
  <c r="AA16" i="65"/>
  <c r="AU16" i="65"/>
  <c r="I16" i="65"/>
  <c r="AT16" i="65"/>
  <c r="J16" i="65"/>
  <c r="AJ17" i="65"/>
  <c r="T16" i="65"/>
  <c r="AJ16" i="65"/>
  <c r="AL16" i="65"/>
  <c r="AA17" i="65"/>
  <c r="J17" i="65"/>
  <c r="AK17" i="65"/>
  <c r="R17" i="65"/>
  <c r="AU17" i="65"/>
  <c r="H25" i="66" l="1"/>
  <c r="C17" i="65"/>
  <c r="C22" i="20"/>
  <c r="G26" i="66"/>
  <c r="D27" i="66"/>
  <c r="AS17" i="65"/>
  <c r="C27" i="66"/>
  <c r="B18" i="23"/>
  <c r="B23" i="20"/>
  <c r="B18" i="65"/>
  <c r="K18" i="65" s="1"/>
  <c r="T17" i="65"/>
  <c r="AC17" i="65"/>
  <c r="AL17" i="65"/>
  <c r="AB17" i="65"/>
  <c r="AT17" i="65"/>
  <c r="S17" i="65"/>
  <c r="K17" i="65"/>
  <c r="AB18" i="65"/>
  <c r="J18" i="65"/>
  <c r="AL18" i="65"/>
  <c r="AJ18" i="65"/>
  <c r="AU18" i="65" l="1"/>
  <c r="AC18" i="65"/>
  <c r="S18" i="65"/>
  <c r="G27" i="66"/>
  <c r="C18" i="65"/>
  <c r="C23" i="20"/>
  <c r="AS18" i="65"/>
  <c r="AA18" i="65"/>
  <c r="I18" i="65"/>
  <c r="C28" i="66"/>
  <c r="B19" i="23"/>
  <c r="B24" i="20"/>
  <c r="B19" i="65"/>
  <c r="H26" i="66"/>
  <c r="T18" i="65"/>
  <c r="R18" i="65"/>
  <c r="AK18" i="65"/>
  <c r="AT18" i="65"/>
  <c r="J19" i="65" l="1"/>
  <c r="AC19" i="65"/>
  <c r="I19" i="65"/>
  <c r="AL19" i="65"/>
  <c r="AA19" i="65"/>
  <c r="S19" i="65"/>
  <c r="R19" i="65"/>
  <c r="G28" i="66"/>
  <c r="C19" i="65"/>
  <c r="C24" i="20"/>
  <c r="C29" i="66"/>
  <c r="B20" i="65"/>
  <c r="AT20" i="65" s="1"/>
  <c r="B20" i="23"/>
  <c r="B25" i="20"/>
  <c r="AS19" i="65"/>
  <c r="AJ19" i="65"/>
  <c r="K19" i="65"/>
  <c r="T19" i="65"/>
  <c r="AT19" i="65"/>
  <c r="H27" i="66"/>
  <c r="AB19" i="65"/>
  <c r="AK19" i="65"/>
  <c r="AU19" i="65"/>
  <c r="D28" i="66"/>
  <c r="AL20" i="65" l="1"/>
  <c r="J20" i="65"/>
  <c r="S20" i="65"/>
  <c r="I20" i="65"/>
  <c r="AS20" i="65"/>
  <c r="AU20" i="65"/>
  <c r="R20" i="65"/>
  <c r="AJ20" i="65"/>
  <c r="K20" i="65"/>
  <c r="G29" i="66"/>
  <c r="C25" i="20"/>
  <c r="C20" i="65"/>
  <c r="H28" i="66"/>
  <c r="AB20" i="65"/>
  <c r="AA20" i="65"/>
  <c r="D29" i="66"/>
  <c r="C30" i="66"/>
  <c r="B21" i="65"/>
  <c r="B21" i="23"/>
  <c r="B26" i="20"/>
  <c r="T20" i="65"/>
  <c r="AC20" i="65"/>
  <c r="AK20" i="65"/>
  <c r="AJ21" i="65"/>
  <c r="T21" i="65"/>
  <c r="AB21" i="65"/>
  <c r="K21" i="65"/>
  <c r="AT21" i="65"/>
  <c r="J21" i="65"/>
  <c r="AS21" i="65"/>
  <c r="AL21" i="65"/>
  <c r="S21" i="65"/>
  <c r="AK21" i="65"/>
  <c r="R21" i="65"/>
  <c r="AC21" i="65" l="1"/>
  <c r="H29" i="66"/>
  <c r="C31" i="66"/>
  <c r="B22" i="65"/>
  <c r="AJ22" i="65" s="1"/>
  <c r="B22" i="23"/>
  <c r="B27" i="20"/>
  <c r="I21" i="65"/>
  <c r="AU21" i="65"/>
  <c r="D30" i="66"/>
  <c r="AA21" i="65"/>
  <c r="G30" i="66"/>
  <c r="C26" i="20"/>
  <c r="C21" i="65"/>
  <c r="AU22" i="65"/>
  <c r="S22" i="65" l="1"/>
  <c r="AL22" i="65"/>
  <c r="AK22" i="65"/>
  <c r="I22" i="65"/>
  <c r="K22" i="65"/>
  <c r="AB22" i="65"/>
  <c r="G31" i="66"/>
  <c r="C27" i="20"/>
  <c r="C22" i="65"/>
  <c r="T22" i="65"/>
  <c r="AA22" i="65"/>
  <c r="J22" i="65"/>
  <c r="AC22" i="65"/>
  <c r="D31" i="66"/>
  <c r="C32" i="66"/>
  <c r="B23" i="23"/>
  <c r="B28" i="20"/>
  <c r="B23" i="65"/>
  <c r="AT23" i="65" s="1"/>
  <c r="R22" i="65"/>
  <c r="AS22" i="65"/>
  <c r="AT22" i="65"/>
  <c r="H30" i="66"/>
  <c r="AL23" i="65"/>
  <c r="AU23" i="65" l="1"/>
  <c r="J23" i="65"/>
  <c r="AC23" i="65"/>
  <c r="K23" i="65"/>
  <c r="S23" i="65"/>
  <c r="I23" i="65"/>
  <c r="AA23" i="65"/>
  <c r="AS23" i="65"/>
  <c r="AJ23" i="65"/>
  <c r="R23" i="65"/>
  <c r="T23" i="65"/>
  <c r="AB23" i="65"/>
  <c r="AK23" i="65"/>
  <c r="C33" i="66"/>
  <c r="B24" i="65"/>
  <c r="K24" i="65" s="1"/>
  <c r="B24" i="23"/>
  <c r="B29" i="20"/>
  <c r="D32" i="66"/>
  <c r="H31" i="66"/>
  <c r="G32" i="66"/>
  <c r="C23" i="65"/>
  <c r="C28" i="20"/>
  <c r="S24" i="65"/>
  <c r="AC24" i="65"/>
  <c r="AA24" i="65"/>
  <c r="AJ24" i="65"/>
  <c r="J24" i="65"/>
  <c r="AL24" i="65"/>
  <c r="T24" i="65"/>
  <c r="AS24" i="65" l="1"/>
  <c r="AT24" i="65"/>
  <c r="R24" i="65"/>
  <c r="AU24" i="65"/>
  <c r="I24" i="65"/>
  <c r="AK24" i="65"/>
  <c r="AB24" i="65"/>
  <c r="D33" i="66"/>
  <c r="G33" i="66"/>
  <c r="C24" i="65"/>
  <c r="C29" i="20"/>
  <c r="H32" i="66"/>
  <c r="C34" i="66"/>
  <c r="B25" i="23"/>
  <c r="B30" i="20"/>
  <c r="B25" i="65"/>
  <c r="AL25" i="65" s="1"/>
  <c r="AB25" i="65"/>
  <c r="AC25" i="65"/>
  <c r="I25" i="65"/>
  <c r="AA25" i="65"/>
  <c r="AS25" i="65"/>
  <c r="AK25" i="65"/>
  <c r="R25" i="65"/>
  <c r="T25" i="65" l="1"/>
  <c r="AU25" i="65"/>
  <c r="S25" i="65"/>
  <c r="AJ25" i="65"/>
  <c r="H33" i="66"/>
  <c r="G34" i="66"/>
  <c r="C25" i="65"/>
  <c r="C30" i="20"/>
  <c r="K25" i="65"/>
  <c r="J25" i="65"/>
  <c r="AT25" i="65"/>
  <c r="C35" i="66"/>
  <c r="B26" i="23"/>
  <c r="B31" i="20"/>
  <c r="B26" i="65"/>
  <c r="AC26" i="65" s="1"/>
  <c r="D34" i="66"/>
  <c r="S26" i="65" l="1"/>
  <c r="AS26" i="65"/>
  <c r="R26" i="65"/>
  <c r="AJ26" i="65"/>
  <c r="AK26" i="65"/>
  <c r="G35" i="66"/>
  <c r="C31" i="20"/>
  <c r="AU26" i="65"/>
  <c r="AL26" i="65"/>
  <c r="AB26" i="65"/>
  <c r="AA26" i="65"/>
  <c r="AT26" i="65"/>
  <c r="I26" i="65"/>
  <c r="J26" i="65"/>
  <c r="T26" i="65"/>
  <c r="C36" i="66"/>
  <c r="B27" i="23"/>
  <c r="B32" i="20"/>
  <c r="B27" i="65"/>
  <c r="AB27" i="65" s="1"/>
  <c r="K26" i="65"/>
  <c r="D35" i="66"/>
  <c r="H34" i="66"/>
  <c r="AC27" i="65" l="1"/>
  <c r="R27" i="65"/>
  <c r="K27" i="65"/>
  <c r="AK27" i="65"/>
  <c r="T27" i="65"/>
  <c r="AT27" i="65"/>
  <c r="G36" i="66"/>
  <c r="C27" i="65"/>
  <c r="C32" i="20"/>
  <c r="H35" i="66"/>
  <c r="AJ27" i="65"/>
  <c r="AS27" i="65"/>
  <c r="AA27" i="65"/>
  <c r="D36" i="66"/>
  <c r="C37" i="66"/>
  <c r="B28" i="65"/>
  <c r="AA28" i="65" s="1"/>
  <c r="B28" i="23"/>
  <c r="B33" i="20"/>
  <c r="J27" i="65"/>
  <c r="AL27" i="65"/>
  <c r="AU27" i="65"/>
  <c r="S27" i="65"/>
  <c r="I27" i="65"/>
  <c r="R28" i="65" l="1"/>
  <c r="S28" i="65"/>
  <c r="T28" i="65"/>
  <c r="AU28" i="65"/>
  <c r="AL28" i="65"/>
  <c r="AJ28" i="65"/>
  <c r="H36" i="66"/>
  <c r="C38" i="66"/>
  <c r="B29" i="65"/>
  <c r="B29" i="23"/>
  <c r="B34" i="20"/>
  <c r="I28" i="65"/>
  <c r="AS28" i="65"/>
  <c r="AK28" i="65"/>
  <c r="J28" i="65"/>
  <c r="AT28" i="65"/>
  <c r="D37" i="66"/>
  <c r="AB28" i="65"/>
  <c r="K28" i="65"/>
  <c r="AC28" i="65"/>
  <c r="G37" i="66"/>
  <c r="C33" i="20"/>
  <c r="C28" i="65"/>
  <c r="R29" i="65"/>
  <c r="AB29" i="65"/>
  <c r="AK29" i="65"/>
  <c r="AU29" i="65"/>
  <c r="AA29" i="65"/>
  <c r="I29" i="65" l="1"/>
  <c r="J29" i="65"/>
  <c r="AT29" i="65"/>
  <c r="K29" i="65"/>
  <c r="AL29" i="65"/>
  <c r="T29" i="65"/>
  <c r="AS29" i="65"/>
  <c r="S29" i="65"/>
  <c r="AJ29" i="65"/>
  <c r="D38" i="66"/>
  <c r="C39" i="66"/>
  <c r="B30" i="65"/>
  <c r="AU30" i="65" s="1"/>
  <c r="B35" i="20"/>
  <c r="B30" i="23"/>
  <c r="G38" i="66"/>
  <c r="C34" i="20"/>
  <c r="C29" i="65"/>
  <c r="AC29" i="65"/>
  <c r="H37" i="66"/>
  <c r="AA30" i="65"/>
  <c r="AL30" i="65"/>
  <c r="T30" i="65"/>
  <c r="AT30" i="65"/>
  <c r="R30" i="65"/>
  <c r="K30" i="65" l="1"/>
  <c r="AC30" i="65"/>
  <c r="AS30" i="65"/>
  <c r="S30" i="65"/>
  <c r="I30" i="65"/>
  <c r="AB30" i="65"/>
  <c r="AK30" i="65"/>
  <c r="H38" i="66"/>
  <c r="C40" i="66"/>
  <c r="B31" i="23"/>
  <c r="B36" i="20"/>
  <c r="B31" i="65"/>
  <c r="AB31" i="65" s="1"/>
  <c r="AJ30" i="65"/>
  <c r="J30" i="65"/>
  <c r="G39" i="66"/>
  <c r="C35" i="20"/>
  <c r="C30" i="65"/>
  <c r="D39" i="66"/>
  <c r="AS31" i="65" l="1"/>
  <c r="AU31" i="65"/>
  <c r="T31" i="65"/>
  <c r="AA31" i="65"/>
  <c r="I31" i="65"/>
  <c r="AJ31" i="65"/>
  <c r="G40" i="66"/>
  <c r="C31" i="65"/>
  <c r="C36" i="20"/>
  <c r="C41" i="66"/>
  <c r="B32" i="65"/>
  <c r="AK32" i="65" s="1"/>
  <c r="B32" i="23"/>
  <c r="B37" i="20"/>
  <c r="D40" i="66"/>
  <c r="AC31" i="65"/>
  <c r="J31" i="65"/>
  <c r="AK31" i="65"/>
  <c r="AT31" i="65"/>
  <c r="R31" i="65"/>
  <c r="AL31" i="65"/>
  <c r="K31" i="65"/>
  <c r="S31" i="65"/>
  <c r="H39" i="66"/>
  <c r="AS32" i="65"/>
  <c r="AC32" i="65"/>
  <c r="AB32" i="65"/>
  <c r="AA32" i="65"/>
  <c r="K32" i="65"/>
  <c r="AT32" i="65"/>
  <c r="R32" i="65"/>
  <c r="AJ32" i="65" l="1"/>
  <c r="AU32" i="65"/>
  <c r="S32" i="65"/>
  <c r="J32" i="65"/>
  <c r="AL32" i="65"/>
  <c r="I32" i="65"/>
  <c r="T32" i="65"/>
  <c r="C42" i="66"/>
  <c r="B33" i="23"/>
  <c r="B38" i="20"/>
  <c r="B33" i="65"/>
  <c r="R33" i="65" s="1"/>
  <c r="G41" i="66"/>
  <c r="C32" i="65"/>
  <c r="C37" i="20"/>
  <c r="D41" i="66"/>
  <c r="H40" i="66"/>
  <c r="AS33" i="65" l="1"/>
  <c r="S33" i="65"/>
  <c r="AJ33" i="65"/>
  <c r="AA33" i="65"/>
  <c r="I33" i="65"/>
  <c r="AT33" i="65"/>
  <c r="J33" i="65"/>
  <c r="AL33" i="65"/>
  <c r="T33" i="65"/>
  <c r="AB33" i="65"/>
  <c r="AU33" i="65"/>
  <c r="K33" i="65"/>
  <c r="AK33" i="65"/>
  <c r="D42" i="66"/>
  <c r="H41" i="66"/>
  <c r="G42" i="66"/>
  <c r="C33" i="65"/>
  <c r="C38" i="20"/>
  <c r="AC33" i="65"/>
  <c r="C43" i="66"/>
  <c r="B34" i="23"/>
  <c r="B39" i="20"/>
  <c r="B34" i="65"/>
  <c r="T34" i="65" l="1"/>
  <c r="AB34" i="65"/>
  <c r="S34" i="65"/>
  <c r="AU34" i="65"/>
  <c r="AJ34" i="65"/>
  <c r="AC34" i="65"/>
  <c r="C44" i="66"/>
  <c r="B35" i="23"/>
  <c r="B40" i="20"/>
  <c r="B35" i="65"/>
  <c r="H42" i="66"/>
  <c r="G43" i="66"/>
  <c r="C34" i="65"/>
  <c r="C39" i="20"/>
  <c r="AK34" i="65"/>
  <c r="R34" i="65"/>
  <c r="AA34" i="65"/>
  <c r="I34" i="65"/>
  <c r="AS34" i="65"/>
  <c r="J34" i="65"/>
  <c r="K34" i="65"/>
  <c r="AL34" i="65"/>
  <c r="AT34" i="65"/>
  <c r="D43" i="66"/>
  <c r="S35" i="65"/>
  <c r="AU35" i="65" l="1"/>
  <c r="AL35" i="65"/>
  <c r="K35" i="65"/>
  <c r="T35" i="65"/>
  <c r="AT35" i="65"/>
  <c r="AJ35" i="65"/>
  <c r="AC35" i="65"/>
  <c r="G44" i="66"/>
  <c r="C35" i="65"/>
  <c r="C40" i="20"/>
  <c r="B36" i="65"/>
  <c r="AK36" i="65" s="1"/>
  <c r="B36" i="23"/>
  <c r="B41" i="20"/>
  <c r="C45" i="66"/>
  <c r="AK35" i="65"/>
  <c r="I35" i="65"/>
  <c r="AB35" i="65"/>
  <c r="R35" i="65"/>
  <c r="H43" i="66"/>
  <c r="AA35" i="65"/>
  <c r="D44" i="66"/>
  <c r="AS35" i="65"/>
  <c r="J35" i="65"/>
  <c r="AB36" i="65"/>
  <c r="AU36" i="65" l="1"/>
  <c r="K36" i="65"/>
  <c r="AA36" i="65"/>
  <c r="S36" i="65"/>
  <c r="J36" i="65"/>
  <c r="AL36" i="65"/>
  <c r="B37" i="65"/>
  <c r="AT37" i="65" s="1"/>
  <c r="B37" i="23"/>
  <c r="B42" i="20"/>
  <c r="C46" i="66"/>
  <c r="G45" i="66"/>
  <c r="C41" i="20"/>
  <c r="C36" i="65"/>
  <c r="D45" i="66"/>
  <c r="AJ36" i="65"/>
  <c r="AS36" i="65"/>
  <c r="H44" i="66"/>
  <c r="T36" i="65"/>
  <c r="I36" i="65"/>
  <c r="AC36" i="65"/>
  <c r="AT36" i="65"/>
  <c r="R36" i="65"/>
  <c r="AL37" i="65"/>
  <c r="AJ37" i="65"/>
  <c r="T37" i="65"/>
  <c r="AS37" i="65"/>
  <c r="AC37" i="65"/>
  <c r="AB37" i="65"/>
  <c r="AA37" i="65"/>
  <c r="AU37" i="65"/>
  <c r="S37" i="65"/>
  <c r="K37" i="65"/>
  <c r="AK37" i="65"/>
  <c r="I37" i="65"/>
  <c r="J37" i="65" l="1"/>
  <c r="R37" i="65"/>
  <c r="C47" i="66"/>
  <c r="B38" i="65"/>
  <c r="AL38" i="65" s="1"/>
  <c r="B38" i="23"/>
  <c r="B43" i="20"/>
  <c r="D46" i="66"/>
  <c r="H45" i="66"/>
  <c r="G46" i="66"/>
  <c r="C42" i="20"/>
  <c r="C37" i="65"/>
  <c r="AA38" i="65"/>
  <c r="K38" i="65"/>
  <c r="I38" i="65"/>
  <c r="AT38" i="65"/>
  <c r="R38" i="65"/>
  <c r="AS38" i="65" l="1"/>
  <c r="AC38" i="65"/>
  <c r="AJ38" i="65"/>
  <c r="T38" i="65"/>
  <c r="AK38" i="65"/>
  <c r="S38" i="65"/>
  <c r="J38" i="65"/>
  <c r="AU38" i="65"/>
  <c r="AB38" i="65"/>
  <c r="G47" i="66"/>
  <c r="C43" i="20"/>
  <c r="C38" i="65"/>
  <c r="D47" i="66"/>
  <c r="H46" i="66"/>
  <c r="C48" i="66"/>
  <c r="B39" i="23"/>
  <c r="B44" i="20"/>
  <c r="B39" i="65"/>
  <c r="AL39" i="65" s="1"/>
  <c r="K39" i="65"/>
  <c r="AK39" i="65"/>
  <c r="AT39" i="65" l="1"/>
  <c r="AJ39" i="65"/>
  <c r="AB39" i="65"/>
  <c r="I39" i="65"/>
  <c r="S39" i="65"/>
  <c r="AU39" i="65"/>
  <c r="T39" i="65"/>
  <c r="H47" i="66"/>
  <c r="D48" i="66"/>
  <c r="AA39" i="65"/>
  <c r="R39" i="65"/>
  <c r="J39" i="65"/>
  <c r="AS39" i="65"/>
  <c r="AC39" i="65"/>
  <c r="C49" i="66"/>
  <c r="B40" i="65"/>
  <c r="AL40" i="65" s="1"/>
  <c r="B40" i="23"/>
  <c r="B45" i="20"/>
  <c r="G48" i="66"/>
  <c r="C39" i="65"/>
  <c r="C44" i="20"/>
  <c r="AS40" i="65"/>
  <c r="AK40" i="65"/>
  <c r="AT40" i="65"/>
  <c r="R40" i="65" l="1"/>
  <c r="AB40" i="65"/>
  <c r="AU40" i="65"/>
  <c r="T40" i="65"/>
  <c r="C50" i="66"/>
  <c r="B41" i="23"/>
  <c r="B46" i="20"/>
  <c r="B41" i="65"/>
  <c r="AS41" i="65" s="1"/>
  <c r="I40" i="65"/>
  <c r="D49" i="66"/>
  <c r="AC40" i="65"/>
  <c r="S40" i="65"/>
  <c r="K40" i="65"/>
  <c r="AJ40" i="65"/>
  <c r="G49" i="66"/>
  <c r="C40" i="65"/>
  <c r="C45" i="20"/>
  <c r="AA40" i="65"/>
  <c r="J40" i="65"/>
  <c r="H48" i="66"/>
  <c r="R41" i="65"/>
  <c r="AJ41" i="65"/>
  <c r="S41" i="65"/>
  <c r="AK41" i="65" l="1"/>
  <c r="AT41" i="65"/>
  <c r="AB41" i="65"/>
  <c r="K41" i="65"/>
  <c r="AU41" i="65"/>
  <c r="I41" i="65"/>
  <c r="C51" i="66"/>
  <c r="B42" i="23"/>
  <c r="B47" i="20"/>
  <c r="B42" i="65"/>
  <c r="J41" i="65"/>
  <c r="AL41" i="65"/>
  <c r="T41" i="65"/>
  <c r="H49" i="66"/>
  <c r="D50" i="66"/>
  <c r="G50" i="66"/>
  <c r="C41" i="65"/>
  <c r="C46" i="20"/>
  <c r="AA41" i="65"/>
  <c r="AC41" i="65"/>
  <c r="AU42" i="65"/>
  <c r="S42" i="65"/>
  <c r="AL42" i="65"/>
  <c r="R42" i="65" l="1"/>
  <c r="AB42" i="65"/>
  <c r="AC42" i="65"/>
  <c r="AT42" i="65"/>
  <c r="AJ42" i="65"/>
  <c r="K42" i="65"/>
  <c r="J42" i="65"/>
  <c r="AA42" i="65"/>
  <c r="I42" i="65"/>
  <c r="T42" i="65"/>
  <c r="AS42" i="65"/>
  <c r="AK42" i="65"/>
  <c r="H50" i="66"/>
  <c r="C52" i="66"/>
  <c r="B43" i="23"/>
  <c r="B48" i="20"/>
  <c r="B43" i="65"/>
  <c r="G51" i="66"/>
  <c r="C42" i="65"/>
  <c r="C47" i="20"/>
  <c r="D51" i="66"/>
  <c r="J43" i="65"/>
  <c r="AK43" i="65" l="1"/>
  <c r="K43" i="65"/>
  <c r="R43" i="65"/>
  <c r="D52" i="66"/>
  <c r="AT43" i="65"/>
  <c r="C53" i="66"/>
  <c r="B44" i="65"/>
  <c r="B44" i="23"/>
  <c r="B49" i="20"/>
  <c r="AC43" i="65"/>
  <c r="AU43" i="65"/>
  <c r="I43" i="65"/>
  <c r="AA43" i="65"/>
  <c r="AJ43" i="65"/>
  <c r="AB43" i="65"/>
  <c r="S43" i="65"/>
  <c r="AL43" i="65"/>
  <c r="T43" i="65"/>
  <c r="AS43" i="65"/>
  <c r="G52" i="66"/>
  <c r="C43" i="65"/>
  <c r="C48" i="20"/>
  <c r="H51" i="66"/>
  <c r="AK44" i="65"/>
  <c r="AT44" i="65" l="1"/>
  <c r="R44" i="65"/>
  <c r="C54" i="66"/>
  <c r="B45" i="65"/>
  <c r="B45" i="23"/>
  <c r="B50" i="20"/>
  <c r="AL44" i="65"/>
  <c r="T44" i="65"/>
  <c r="AC44" i="65"/>
  <c r="D53" i="66"/>
  <c r="S44" i="65"/>
  <c r="AA44" i="65"/>
  <c r="AB44" i="65"/>
  <c r="J44" i="65"/>
  <c r="I44" i="65"/>
  <c r="G53" i="66"/>
  <c r="C49" i="20"/>
  <c r="C44" i="65"/>
  <c r="H52" i="66"/>
  <c r="K44" i="65"/>
  <c r="AJ44" i="65"/>
  <c r="AS44" i="65"/>
  <c r="AU44" i="65"/>
  <c r="AT45" i="65"/>
  <c r="J45" i="65"/>
  <c r="AC45" i="65"/>
  <c r="AS45" i="65"/>
  <c r="AK45" i="65"/>
  <c r="T45" i="65"/>
  <c r="AJ45" i="65"/>
  <c r="S45" i="65"/>
  <c r="AL45" i="65" l="1"/>
  <c r="R45" i="65"/>
  <c r="AB45" i="65"/>
  <c r="AU45" i="65"/>
  <c r="I45" i="65"/>
  <c r="K45" i="65"/>
  <c r="AA45" i="65"/>
  <c r="H53" i="66"/>
  <c r="D54" i="66"/>
  <c r="G54" i="66"/>
  <c r="C50" i="20"/>
  <c r="C45" i="65"/>
  <c r="B46" i="65"/>
  <c r="AK46" i="65" s="1"/>
  <c r="B51" i="20"/>
  <c r="C55" i="66"/>
  <c r="B46" i="23"/>
  <c r="AA46" i="65"/>
  <c r="K46" i="65"/>
  <c r="S46" i="65"/>
  <c r="AS46" i="65"/>
  <c r="AL46" i="65"/>
  <c r="R46" i="65"/>
  <c r="AC46" i="65"/>
  <c r="AT46" i="65"/>
  <c r="AJ46" i="65"/>
  <c r="AB46" i="65"/>
  <c r="AU46" i="65" l="1"/>
  <c r="I46" i="65"/>
  <c r="J46" i="65"/>
  <c r="T46" i="65"/>
  <c r="C56" i="66"/>
  <c r="B47" i="23"/>
  <c r="B52" i="20"/>
  <c r="B47" i="65"/>
  <c r="T47" i="65" s="1"/>
  <c r="D55" i="66"/>
  <c r="G55" i="66"/>
  <c r="C51" i="20"/>
  <c r="C46" i="65"/>
  <c r="H54" i="66"/>
  <c r="AJ47" i="65"/>
  <c r="S47" i="65"/>
  <c r="K47" i="65" l="1"/>
  <c r="AK47" i="65"/>
  <c r="J47" i="65"/>
  <c r="AL47" i="65"/>
  <c r="AC47" i="65"/>
  <c r="D56" i="66"/>
  <c r="R47" i="65"/>
  <c r="H55" i="66"/>
  <c r="AS47" i="65"/>
  <c r="AB47" i="65"/>
  <c r="I47" i="65"/>
  <c r="AT47" i="65"/>
  <c r="AA47" i="65"/>
  <c r="AU47" i="65"/>
  <c r="G56" i="66"/>
  <c r="C47" i="65"/>
  <c r="C52" i="20"/>
  <c r="C57" i="66"/>
  <c r="B48" i="65"/>
  <c r="AS48" i="65" s="1"/>
  <c r="B48" i="23"/>
  <c r="B53" i="20"/>
  <c r="K48" i="65"/>
  <c r="AK48" i="65"/>
  <c r="I48" i="65"/>
  <c r="S48" i="65"/>
  <c r="AL48" i="65"/>
  <c r="R48" i="65"/>
  <c r="AJ48" i="65"/>
  <c r="T48" i="65"/>
  <c r="AB48" i="65"/>
  <c r="H56" i="66" l="1"/>
  <c r="C58" i="66"/>
  <c r="B49" i="23"/>
  <c r="B54" i="20"/>
  <c r="B49" i="65"/>
  <c r="J49" i="65" s="1"/>
  <c r="AA48" i="65"/>
  <c r="AU48" i="65"/>
  <c r="J48" i="65"/>
  <c r="AC48" i="65"/>
  <c r="G57" i="66"/>
  <c r="C48" i="65"/>
  <c r="C53" i="20"/>
  <c r="AT48" i="65"/>
  <c r="D57" i="66"/>
  <c r="AL49" i="65"/>
  <c r="I49" i="65" l="1"/>
  <c r="AS49" i="65"/>
  <c r="R49" i="65"/>
  <c r="AT49" i="65"/>
  <c r="T49" i="65"/>
  <c r="G58" i="66"/>
  <c r="C49" i="65"/>
  <c r="C54" i="20"/>
  <c r="C59" i="66"/>
  <c r="B50" i="23"/>
  <c r="B55" i="20"/>
  <c r="B50" i="65"/>
  <c r="AA50" i="65" s="1"/>
  <c r="D58" i="66"/>
  <c r="K49" i="65"/>
  <c r="AC49" i="65"/>
  <c r="AA49" i="65"/>
  <c r="S49" i="65"/>
  <c r="AB49" i="65"/>
  <c r="AJ49" i="65"/>
  <c r="AK49" i="65"/>
  <c r="AU49" i="65"/>
  <c r="H57" i="66"/>
  <c r="R50" i="65"/>
  <c r="AB50" i="65"/>
  <c r="AL50" i="65"/>
  <c r="AJ50" i="65"/>
  <c r="T50" i="65"/>
  <c r="AK50" i="65" l="1"/>
  <c r="J50" i="65"/>
  <c r="K50" i="65"/>
  <c r="AT50" i="65"/>
  <c r="I50" i="65"/>
  <c r="AC50" i="65"/>
  <c r="AU50" i="65"/>
  <c r="AS50" i="65"/>
  <c r="S50" i="65"/>
  <c r="C60" i="66"/>
  <c r="B51" i="23"/>
  <c r="B56" i="20"/>
  <c r="B51" i="65"/>
  <c r="AL51" i="65" s="1"/>
  <c r="D59" i="66"/>
  <c r="G59" i="66"/>
  <c r="C50" i="65"/>
  <c r="C55" i="20"/>
  <c r="H58" i="66"/>
  <c r="I51" i="65" l="1"/>
  <c r="AA51" i="65"/>
  <c r="AC51" i="65"/>
  <c r="AB51" i="65"/>
  <c r="D60" i="66"/>
  <c r="AJ51" i="65"/>
  <c r="AU51" i="65"/>
  <c r="R51" i="65"/>
  <c r="AK51" i="65"/>
  <c r="T51" i="65"/>
  <c r="K51" i="65"/>
  <c r="J51" i="65"/>
  <c r="H59" i="66"/>
  <c r="S51" i="65"/>
  <c r="AT51" i="65"/>
  <c r="AS51" i="65"/>
  <c r="G60" i="66"/>
  <c r="C51" i="65"/>
  <c r="C56" i="20"/>
  <c r="C61" i="66"/>
  <c r="B52" i="65"/>
  <c r="AC52" i="65" s="1"/>
  <c r="B52" i="23"/>
  <c r="B57" i="20"/>
  <c r="AB52" i="65" l="1"/>
  <c r="AS52" i="65"/>
  <c r="S52" i="65"/>
  <c r="AL52" i="65"/>
  <c r="K52" i="65"/>
  <c r="I52" i="65"/>
  <c r="R52" i="65"/>
  <c r="AJ52" i="65"/>
  <c r="T52" i="65"/>
  <c r="AK52" i="65"/>
  <c r="AT52" i="65"/>
  <c r="AU52" i="65"/>
  <c r="C62" i="66"/>
  <c r="B53" i="65"/>
  <c r="AB53" i="65" s="1"/>
  <c r="B53" i="23"/>
  <c r="B58" i="20"/>
  <c r="AA52" i="65"/>
  <c r="H60" i="66"/>
  <c r="J52" i="65"/>
  <c r="G61" i="66"/>
  <c r="C57" i="20"/>
  <c r="C52" i="65"/>
  <c r="D61" i="66"/>
  <c r="AC53" i="65"/>
  <c r="I53" i="65"/>
  <c r="K53" i="65"/>
  <c r="AK53" i="65"/>
  <c r="R53" i="65" l="1"/>
  <c r="G62" i="66"/>
  <c r="C58" i="20"/>
  <c r="C53" i="65"/>
  <c r="AT53" i="65"/>
  <c r="D62" i="66"/>
  <c r="S53" i="65"/>
  <c r="AL53" i="65"/>
  <c r="AU53" i="65"/>
  <c r="H61" i="66"/>
  <c r="J53" i="65"/>
  <c r="C63" i="66"/>
  <c r="B54" i="65"/>
  <c r="B54" i="23"/>
  <c r="B59" i="20"/>
  <c r="AJ53" i="65"/>
  <c r="T53" i="65"/>
  <c r="AA53" i="65"/>
  <c r="AS53" i="65"/>
  <c r="AA54" i="65"/>
  <c r="K54" i="65"/>
  <c r="AC54" i="65"/>
  <c r="AT54" i="65"/>
  <c r="AB54" i="65"/>
  <c r="AS54" i="65"/>
  <c r="AJ54" i="65"/>
  <c r="J54" i="65"/>
  <c r="R54" i="65" l="1"/>
  <c r="AU54" i="65"/>
  <c r="S54" i="65"/>
  <c r="AL54" i="65"/>
  <c r="T54" i="65"/>
  <c r="AK54" i="65"/>
  <c r="I54" i="65"/>
  <c r="D63" i="66"/>
  <c r="H62" i="66"/>
  <c r="C64" i="66"/>
  <c r="B55" i="23"/>
  <c r="B60" i="20"/>
  <c r="B55" i="65"/>
  <c r="T55" i="65" s="1"/>
  <c r="G63" i="66"/>
  <c r="C59" i="20"/>
  <c r="C54" i="65"/>
  <c r="AJ55" i="65" l="1"/>
  <c r="AU55" i="65"/>
  <c r="J55" i="65"/>
  <c r="R55" i="65"/>
  <c r="I55" i="65"/>
  <c r="AC55" i="65"/>
  <c r="C65" i="66"/>
  <c r="B56" i="65"/>
  <c r="AA56" i="65" s="1"/>
  <c r="B56" i="23"/>
  <c r="B61" i="20"/>
  <c r="G64" i="66"/>
  <c r="C55" i="65"/>
  <c r="C60" i="20"/>
  <c r="H63" i="66"/>
  <c r="AB55" i="65"/>
  <c r="K55" i="65"/>
  <c r="AK55" i="65"/>
  <c r="AL55" i="65"/>
  <c r="AT55" i="65"/>
  <c r="AS55" i="65"/>
  <c r="AA55" i="65"/>
  <c r="S55" i="65"/>
  <c r="D64" i="66"/>
  <c r="AC56" i="65"/>
  <c r="R56" i="65" l="1"/>
  <c r="H64" i="66"/>
  <c r="C66" i="66"/>
  <c r="B57" i="23"/>
  <c r="B62" i="20"/>
  <c r="B57" i="65"/>
  <c r="AJ57" i="65" s="1"/>
  <c r="AJ56" i="65"/>
  <c r="I56" i="65"/>
  <c r="G65" i="66"/>
  <c r="C56" i="65"/>
  <c r="C61" i="20"/>
  <c r="AU56" i="65"/>
  <c r="AB56" i="65"/>
  <c r="S56" i="65"/>
  <c r="T56" i="65"/>
  <c r="AT56" i="65"/>
  <c r="D65" i="66"/>
  <c r="AK56" i="65"/>
  <c r="K56" i="65"/>
  <c r="AS56" i="65"/>
  <c r="AL56" i="65"/>
  <c r="J56" i="65"/>
  <c r="J57" i="65"/>
  <c r="S57" i="65" l="1"/>
  <c r="AL57" i="65"/>
  <c r="K57" i="65"/>
  <c r="AK57" i="65"/>
  <c r="AU57" i="65"/>
  <c r="I57" i="65"/>
  <c r="AB57" i="65"/>
  <c r="R57" i="65"/>
  <c r="D66" i="66"/>
  <c r="G66" i="66"/>
  <c r="C57" i="65"/>
  <c r="C62" i="20"/>
  <c r="T57" i="65"/>
  <c r="AT57" i="65"/>
  <c r="C67" i="66"/>
  <c r="B58" i="23"/>
  <c r="B63" i="20"/>
  <c r="B58" i="65"/>
  <c r="AS58" i="65" s="1"/>
  <c r="AS57" i="65"/>
  <c r="AC57" i="65"/>
  <c r="AA57" i="65"/>
  <c r="H65" i="66"/>
  <c r="S58" i="65"/>
  <c r="T58" i="65"/>
  <c r="AB58" i="65"/>
  <c r="G67" i="66" l="1"/>
  <c r="C58" i="65"/>
  <c r="C63" i="20"/>
  <c r="AL58" i="65"/>
  <c r="C68" i="66"/>
  <c r="B59" i="23"/>
  <c r="B64" i="20"/>
  <c r="B59" i="65"/>
  <c r="AU59" i="65" s="1"/>
  <c r="AU58" i="65"/>
  <c r="K58" i="65"/>
  <c r="AC58" i="65"/>
  <c r="J58" i="65"/>
  <c r="H66" i="66"/>
  <c r="AA58" i="65"/>
  <c r="AJ58" i="65"/>
  <c r="AT58" i="65"/>
  <c r="R58" i="65"/>
  <c r="I58" i="65"/>
  <c r="AK58" i="65"/>
  <c r="D67" i="66"/>
  <c r="AS59" i="65"/>
  <c r="S59" i="65" l="1"/>
  <c r="AA59" i="65"/>
  <c r="AL59" i="65"/>
  <c r="J59" i="65"/>
  <c r="AK59" i="65"/>
  <c r="AC59" i="65"/>
  <c r="D68" i="66"/>
  <c r="H67" i="66"/>
  <c r="I59" i="65"/>
  <c r="K59" i="65"/>
  <c r="AJ59" i="65"/>
  <c r="G68" i="66"/>
  <c r="C59" i="65"/>
  <c r="C64" i="20"/>
  <c r="AB59" i="65"/>
  <c r="AT59" i="65"/>
  <c r="R59" i="65"/>
  <c r="T59" i="65"/>
  <c r="C69" i="66"/>
  <c r="B60" i="65"/>
  <c r="B60" i="23"/>
  <c r="B65" i="20"/>
  <c r="S60" i="65"/>
  <c r="AL60" i="65"/>
  <c r="AK60" i="65" l="1"/>
  <c r="K60" i="65"/>
  <c r="AC60" i="65"/>
  <c r="R60" i="65"/>
  <c r="AS60" i="65"/>
  <c r="AA60" i="65"/>
  <c r="H68" i="66"/>
  <c r="I60" i="65"/>
  <c r="T60" i="65"/>
  <c r="AU60" i="65"/>
  <c r="AJ60" i="65"/>
  <c r="D69" i="66"/>
  <c r="AT60" i="65"/>
  <c r="C70" i="66"/>
  <c r="B61" i="65"/>
  <c r="AS61" i="65" s="1"/>
  <c r="B61" i="23"/>
  <c r="B66" i="20"/>
  <c r="G69" i="66"/>
  <c r="C65" i="20"/>
  <c r="C60" i="65"/>
  <c r="J60" i="65"/>
  <c r="AB60" i="65"/>
  <c r="AT61" i="65"/>
  <c r="AB61" i="65"/>
  <c r="AU61" i="65"/>
  <c r="T61" i="65" l="1"/>
  <c r="AK61" i="65"/>
  <c r="J61" i="65"/>
  <c r="AL61" i="65"/>
  <c r="C71" i="66"/>
  <c r="B62" i="65"/>
  <c r="B62" i="23"/>
  <c r="B67" i="20"/>
  <c r="S61" i="65"/>
  <c r="G70" i="66"/>
  <c r="C66" i="20"/>
  <c r="C61" i="65"/>
  <c r="H69" i="66"/>
  <c r="K61" i="65"/>
  <c r="AJ61" i="65"/>
  <c r="AA61" i="65"/>
  <c r="I61" i="65"/>
  <c r="AC61" i="65"/>
  <c r="R61" i="65"/>
  <c r="D70" i="66"/>
  <c r="J62" i="65"/>
  <c r="AT62" i="65"/>
  <c r="AA62" i="65" l="1"/>
  <c r="AB62" i="65"/>
  <c r="R62" i="65"/>
  <c r="AL62" i="65"/>
  <c r="K62" i="65"/>
  <c r="AU62" i="65"/>
  <c r="T62" i="65"/>
  <c r="I62" i="65"/>
  <c r="AC62" i="65"/>
  <c r="AJ62" i="65"/>
  <c r="S62" i="65"/>
  <c r="AK62" i="65"/>
  <c r="AS62" i="65"/>
  <c r="H70" i="66"/>
  <c r="G71" i="66"/>
  <c r="C67" i="20"/>
  <c r="C62" i="65"/>
  <c r="D71" i="66"/>
  <c r="C72" i="66"/>
  <c r="B63" i="23"/>
  <c r="B68" i="20"/>
  <c r="B63" i="65"/>
  <c r="AS63" i="65" s="1"/>
  <c r="R63" i="65" l="1"/>
  <c r="AL63" i="65"/>
  <c r="K63" i="65"/>
  <c r="AA63" i="65"/>
  <c r="S63" i="65"/>
  <c r="I63" i="65"/>
  <c r="AU63" i="65"/>
  <c r="D72" i="66"/>
  <c r="T63" i="65"/>
  <c r="AT63" i="65"/>
  <c r="AB63" i="65"/>
  <c r="G72" i="66"/>
  <c r="C63" i="65"/>
  <c r="C68" i="20"/>
  <c r="AJ63" i="65"/>
  <c r="AC63" i="65"/>
  <c r="AK63" i="65"/>
  <c r="J63" i="65"/>
  <c r="C73" i="66"/>
  <c r="B64" i="65"/>
  <c r="AB64" i="65" s="1"/>
  <c r="B64" i="23"/>
  <c r="B69" i="20"/>
  <c r="H71" i="66"/>
  <c r="AL64" i="65"/>
  <c r="J64" i="65"/>
  <c r="AK64" i="65"/>
  <c r="I64" i="65"/>
  <c r="T64" i="65"/>
  <c r="AU64" i="65"/>
  <c r="S64" i="65"/>
  <c r="K64" i="65"/>
  <c r="AA64" i="65"/>
  <c r="AS64" i="65"/>
  <c r="AC64" i="65"/>
  <c r="R64" i="65"/>
  <c r="AT64" i="65" l="1"/>
  <c r="AJ64" i="65"/>
  <c r="G73" i="66"/>
  <c r="C64" i="65"/>
  <c r="C69" i="20"/>
  <c r="D73" i="66"/>
  <c r="H72" i="66"/>
  <c r="C74" i="66"/>
  <c r="B65" i="23"/>
  <c r="B70" i="20"/>
  <c r="B65" i="65"/>
  <c r="I65" i="65" s="1"/>
  <c r="AA65" i="65" l="1"/>
  <c r="AC65" i="65"/>
  <c r="AS65" i="65"/>
  <c r="AK65" i="65"/>
  <c r="AL65" i="65"/>
  <c r="R65" i="65"/>
  <c r="K65" i="65"/>
  <c r="AT65" i="65"/>
  <c r="T65" i="65"/>
  <c r="S65" i="65"/>
  <c r="D74" i="66"/>
  <c r="H73" i="66"/>
  <c r="AJ65" i="65"/>
  <c r="AU65" i="65"/>
  <c r="J65" i="65"/>
  <c r="AB65" i="65"/>
  <c r="C75" i="66"/>
  <c r="B66" i="23"/>
  <c r="B71" i="20"/>
  <c r="B66" i="65"/>
  <c r="G74" i="66"/>
  <c r="C65" i="65"/>
  <c r="C70" i="20"/>
  <c r="J66" i="65"/>
  <c r="AS66" i="65"/>
  <c r="AB66" i="65" l="1"/>
  <c r="AU66" i="65"/>
  <c r="S66" i="65"/>
  <c r="R66" i="65"/>
  <c r="I66" i="65"/>
  <c r="AK66" i="65"/>
  <c r="AL66" i="65"/>
  <c r="AT66" i="65"/>
  <c r="G75" i="66"/>
  <c r="C66" i="65"/>
  <c r="C71" i="20"/>
  <c r="K66" i="65"/>
  <c r="H74" i="66"/>
  <c r="AC66" i="65"/>
  <c r="C76" i="66"/>
  <c r="B67" i="23"/>
  <c r="B72" i="20"/>
  <c r="B67" i="65"/>
  <c r="K67" i="65" s="1"/>
  <c r="T66" i="65"/>
  <c r="AA66" i="65"/>
  <c r="AJ66" i="65"/>
  <c r="D75" i="66"/>
  <c r="AL67" i="65" l="1"/>
  <c r="J67" i="65"/>
  <c r="AJ67" i="65"/>
  <c r="AA67" i="65"/>
  <c r="AU67" i="65"/>
  <c r="AS67" i="65"/>
  <c r="T67" i="65"/>
  <c r="H75" i="66"/>
  <c r="C77" i="66"/>
  <c r="B68" i="65"/>
  <c r="B68" i="23"/>
  <c r="B73" i="20"/>
  <c r="G76" i="66"/>
  <c r="C67" i="65"/>
  <c r="C72" i="20"/>
  <c r="AB67" i="65"/>
  <c r="AT67" i="65"/>
  <c r="AK67" i="65"/>
  <c r="D76" i="66"/>
  <c r="R67" i="65"/>
  <c r="I67" i="65"/>
  <c r="AC67" i="65"/>
  <c r="S67" i="65"/>
  <c r="S68" i="65" l="1"/>
  <c r="AC68" i="65"/>
  <c r="AS68" i="65"/>
  <c r="C78" i="66"/>
  <c r="B69" i="65"/>
  <c r="AK69" i="65" s="1"/>
  <c r="B69" i="23"/>
  <c r="B74" i="20"/>
  <c r="AK68" i="65"/>
  <c r="AT68" i="65"/>
  <c r="R68" i="65"/>
  <c r="G77" i="66"/>
  <c r="C73" i="20"/>
  <c r="C68" i="65"/>
  <c r="AA68" i="65"/>
  <c r="T68" i="65"/>
  <c r="J68" i="65"/>
  <c r="AJ68" i="65"/>
  <c r="K68" i="65"/>
  <c r="I68" i="65"/>
  <c r="AL68" i="65"/>
  <c r="D77" i="66"/>
  <c r="AU68" i="65"/>
  <c r="AB68" i="65"/>
  <c r="H76" i="66"/>
  <c r="K69" i="65"/>
  <c r="AL69" i="65"/>
  <c r="J69" i="65"/>
  <c r="T69" i="65"/>
  <c r="AT69" i="65"/>
  <c r="AA69" i="65" l="1"/>
  <c r="R69" i="65"/>
  <c r="AU69" i="65"/>
  <c r="I69" i="65"/>
  <c r="AC69" i="65"/>
  <c r="AJ69" i="65"/>
  <c r="S69" i="65"/>
  <c r="AB69" i="65"/>
  <c r="AS69" i="65"/>
  <c r="G78" i="66"/>
  <c r="C74" i="20"/>
  <c r="C69" i="65"/>
  <c r="D78" i="66"/>
  <c r="H77" i="66"/>
  <c r="C79" i="66"/>
  <c r="B70" i="65"/>
  <c r="B70" i="23"/>
  <c r="B75" i="20"/>
  <c r="T70" i="65"/>
  <c r="AU70" i="65"/>
  <c r="AA70" i="65" l="1"/>
  <c r="AS70" i="65"/>
  <c r="AJ70" i="65"/>
  <c r="AB70" i="65"/>
  <c r="I70" i="65"/>
  <c r="K70" i="65"/>
  <c r="J70" i="65"/>
  <c r="AL70" i="65"/>
  <c r="AK70" i="65"/>
  <c r="AC70" i="65"/>
  <c r="R70" i="65"/>
  <c r="AT70" i="65"/>
  <c r="S70" i="65"/>
  <c r="H78" i="66"/>
  <c r="D79" i="66"/>
  <c r="C80" i="66"/>
  <c r="B71" i="23"/>
  <c r="B76" i="20"/>
  <c r="B71" i="65"/>
  <c r="AS71" i="65" s="1"/>
  <c r="G79" i="66"/>
  <c r="C75" i="20"/>
  <c r="C70" i="65"/>
  <c r="R71" i="65" l="1"/>
  <c r="AU71" i="65"/>
  <c r="S71" i="65"/>
  <c r="AA71" i="65"/>
  <c r="C81" i="66"/>
  <c r="B72" i="65"/>
  <c r="B72" i="23"/>
  <c r="B77" i="20"/>
  <c r="K71" i="65"/>
  <c r="G80" i="66"/>
  <c r="C71" i="65"/>
  <c r="C76" i="20"/>
  <c r="D80" i="66"/>
  <c r="AK71" i="65"/>
  <c r="AC71" i="65"/>
  <c r="AL71" i="65"/>
  <c r="T71" i="65"/>
  <c r="AT71" i="65"/>
  <c r="AB71" i="65"/>
  <c r="AJ71" i="65"/>
  <c r="I71" i="65"/>
  <c r="J71" i="65"/>
  <c r="H79" i="66"/>
  <c r="K72" i="65" l="1"/>
  <c r="S72" i="65"/>
  <c r="I72" i="65"/>
  <c r="AK72" i="65"/>
  <c r="R72" i="65"/>
  <c r="J72" i="65"/>
  <c r="G81" i="66"/>
  <c r="C72" i="65"/>
  <c r="C77" i="20"/>
  <c r="H80" i="66"/>
  <c r="AS72" i="65"/>
  <c r="C82" i="66"/>
  <c r="B73" i="23"/>
  <c r="B78" i="20"/>
  <c r="B73" i="65"/>
  <c r="AK73" i="65" s="1"/>
  <c r="AL72" i="65"/>
  <c r="D81" i="66"/>
  <c r="AT72" i="65"/>
  <c r="AA72" i="65"/>
  <c r="AJ72" i="65"/>
  <c r="AB72" i="65"/>
  <c r="AU72" i="65"/>
  <c r="T72" i="65"/>
  <c r="AC72" i="65"/>
  <c r="R73" i="65"/>
  <c r="AS73" i="65"/>
  <c r="K73" i="65"/>
  <c r="AA73" i="65" l="1"/>
  <c r="AU73" i="65"/>
  <c r="AL73" i="65"/>
  <c r="AT73" i="65"/>
  <c r="T73" i="65"/>
  <c r="S73" i="65"/>
  <c r="AJ73" i="65"/>
  <c r="AB73" i="65"/>
  <c r="I73" i="65"/>
  <c r="J73" i="65"/>
  <c r="AC73" i="65"/>
  <c r="C83" i="66"/>
  <c r="B74" i="23"/>
  <c r="B79" i="20"/>
  <c r="B74" i="65"/>
  <c r="R74" i="65" s="1"/>
  <c r="H81" i="66"/>
  <c r="D82" i="66"/>
  <c r="G82" i="66"/>
  <c r="C73" i="65"/>
  <c r="C78" i="20"/>
  <c r="K74" i="65"/>
  <c r="J74" i="65"/>
  <c r="AU74" i="65"/>
  <c r="AJ74" i="65"/>
  <c r="A21" i="1"/>
  <c r="D12" i="1"/>
  <c r="AI15" i="23"/>
  <c r="D20" i="20"/>
  <c r="E20" i="20" s="1"/>
  <c r="C14" i="37"/>
  <c r="D14" i="37"/>
  <c r="E14" i="37"/>
  <c r="F14" i="37"/>
  <c r="G14" i="37"/>
  <c r="H14" i="37"/>
  <c r="I14" i="37"/>
  <c r="J14" i="37"/>
  <c r="A21" i="20"/>
  <c r="D21" i="20" s="1"/>
  <c r="AQ16" i="23"/>
  <c r="AQ17" i="23"/>
  <c r="AQ18" i="23"/>
  <c r="AQ19" i="23"/>
  <c r="AQ20" i="23"/>
  <c r="AQ21" i="23"/>
  <c r="AQ22" i="23"/>
  <c r="AQ23" i="23"/>
  <c r="AQ24" i="23"/>
  <c r="AQ25" i="23"/>
  <c r="AQ26" i="23"/>
  <c r="AQ27" i="23"/>
  <c r="AQ28" i="23"/>
  <c r="AQ29" i="23"/>
  <c r="AQ30" i="23"/>
  <c r="AQ31" i="23"/>
  <c r="AQ32" i="23"/>
  <c r="AQ33" i="23"/>
  <c r="AQ34" i="23"/>
  <c r="AQ35" i="23"/>
  <c r="AQ36" i="23"/>
  <c r="AQ37" i="23"/>
  <c r="AQ38" i="23"/>
  <c r="AQ39" i="23"/>
  <c r="AQ40" i="23"/>
  <c r="AQ41" i="23"/>
  <c r="AQ42" i="23"/>
  <c r="AQ43" i="23"/>
  <c r="AQ44" i="23"/>
  <c r="AQ45" i="23"/>
  <c r="AQ46" i="23"/>
  <c r="AQ47" i="23"/>
  <c r="AQ48" i="23"/>
  <c r="AQ49" i="23"/>
  <c r="AQ50" i="23"/>
  <c r="AQ51" i="23"/>
  <c r="AQ52" i="23"/>
  <c r="AQ53" i="23"/>
  <c r="AQ54" i="23"/>
  <c r="AQ55" i="23"/>
  <c r="AQ56" i="23"/>
  <c r="AQ57" i="23"/>
  <c r="AQ58" i="23"/>
  <c r="AQ59" i="23"/>
  <c r="AQ60" i="23"/>
  <c r="AQ61" i="23"/>
  <c r="AQ62" i="23"/>
  <c r="AQ63" i="23"/>
  <c r="AQ64" i="23"/>
  <c r="AQ65" i="23"/>
  <c r="AQ66" i="23"/>
  <c r="AQ67" i="23"/>
  <c r="AQ68" i="23"/>
  <c r="AQ69" i="23"/>
  <c r="AQ70" i="23"/>
  <c r="AQ71" i="23"/>
  <c r="AQ72" i="23"/>
  <c r="AQ73" i="23"/>
  <c r="AQ74" i="23"/>
  <c r="AQ75" i="23"/>
  <c r="AQ76" i="23"/>
  <c r="AQ77" i="23"/>
  <c r="AQ78" i="23"/>
  <c r="AQ79" i="23"/>
  <c r="AQ80" i="23"/>
  <c r="AQ81" i="23"/>
  <c r="AQ82" i="23"/>
  <c r="AQ83" i="23"/>
  <c r="AQ84" i="23"/>
  <c r="AQ85" i="23"/>
  <c r="AQ86" i="23"/>
  <c r="AQ87" i="23"/>
  <c r="AQ88" i="23"/>
  <c r="AQ89" i="23"/>
  <c r="AQ90" i="23"/>
  <c r="AQ91" i="23"/>
  <c r="AQ92" i="23"/>
  <c r="AQ93" i="23"/>
  <c r="AQ94" i="23"/>
  <c r="AQ95" i="23"/>
  <c r="AQ96" i="23"/>
  <c r="AQ97" i="23"/>
  <c r="AQ98" i="23"/>
  <c r="AQ99" i="23"/>
  <c r="AQ100" i="23"/>
  <c r="AQ101" i="23"/>
  <c r="AQ102" i="23"/>
  <c r="AQ103" i="23"/>
  <c r="AQ104" i="23"/>
  <c r="AQ105" i="23"/>
  <c r="AQ106" i="23"/>
  <c r="AQ107" i="23"/>
  <c r="AQ108" i="23"/>
  <c r="AQ109" i="23"/>
  <c r="AQ110" i="23"/>
  <c r="AQ111" i="23"/>
  <c r="AQ112" i="23"/>
  <c r="AQ113" i="23"/>
  <c r="AQ114" i="23"/>
  <c r="AQ15" i="23"/>
  <c r="AH16" i="23"/>
  <c r="AH17" i="23"/>
  <c r="AH18" i="23"/>
  <c r="AH19" i="23"/>
  <c r="AH20" i="23"/>
  <c r="AH21" i="23"/>
  <c r="AH22" i="23"/>
  <c r="AH23" i="23"/>
  <c r="AH24" i="23"/>
  <c r="AH25" i="23"/>
  <c r="AH26" i="23"/>
  <c r="AH27" i="23"/>
  <c r="AH28" i="23"/>
  <c r="AH29" i="23"/>
  <c r="AH30" i="23"/>
  <c r="AH31" i="23"/>
  <c r="AH32" i="23"/>
  <c r="AH33" i="23"/>
  <c r="AH34" i="23"/>
  <c r="AH35" i="23"/>
  <c r="AH36" i="23"/>
  <c r="AH37" i="23"/>
  <c r="AH38" i="23"/>
  <c r="AH39" i="23"/>
  <c r="AH40" i="23"/>
  <c r="AH41" i="23"/>
  <c r="AH42" i="23"/>
  <c r="AH43" i="23"/>
  <c r="AH44" i="23"/>
  <c r="AH45" i="23"/>
  <c r="AH46" i="23"/>
  <c r="AH47" i="23"/>
  <c r="AH48" i="23"/>
  <c r="AH49" i="23"/>
  <c r="AH50" i="23"/>
  <c r="AH51" i="23"/>
  <c r="AH52" i="23"/>
  <c r="AH53" i="23"/>
  <c r="AH54" i="23"/>
  <c r="AH55" i="23"/>
  <c r="AH56" i="23"/>
  <c r="AH57" i="23"/>
  <c r="AH58" i="23"/>
  <c r="AH59" i="23"/>
  <c r="AH60" i="23"/>
  <c r="AH61" i="23"/>
  <c r="AH62" i="23"/>
  <c r="AH63" i="23"/>
  <c r="AH64" i="23"/>
  <c r="AH65" i="23"/>
  <c r="AH66" i="23"/>
  <c r="AH67" i="23"/>
  <c r="AH68" i="23"/>
  <c r="AH69" i="23"/>
  <c r="AH70" i="23"/>
  <c r="AH71" i="23"/>
  <c r="AH72" i="23"/>
  <c r="AH73" i="23"/>
  <c r="AH74" i="23"/>
  <c r="AH75" i="23"/>
  <c r="AH76" i="23"/>
  <c r="AH77" i="23"/>
  <c r="AH78" i="23"/>
  <c r="AH79" i="23"/>
  <c r="AH80" i="23"/>
  <c r="AH81" i="23"/>
  <c r="AH82" i="23"/>
  <c r="AH83" i="23"/>
  <c r="AH84" i="23"/>
  <c r="AH85" i="23"/>
  <c r="AH86" i="23"/>
  <c r="AH87" i="23"/>
  <c r="AH88" i="23"/>
  <c r="AH89" i="23"/>
  <c r="AH90" i="23"/>
  <c r="AH91" i="23"/>
  <c r="AH92" i="23"/>
  <c r="AH93" i="23"/>
  <c r="AH94" i="23"/>
  <c r="AH95" i="23"/>
  <c r="AH96" i="23"/>
  <c r="AH97" i="23"/>
  <c r="AH98" i="23"/>
  <c r="AH99" i="23"/>
  <c r="AH100" i="23"/>
  <c r="AH101" i="23"/>
  <c r="AH102" i="23"/>
  <c r="AH103" i="23"/>
  <c r="AH104" i="23"/>
  <c r="AH105" i="23"/>
  <c r="AH106" i="23"/>
  <c r="AH107" i="23"/>
  <c r="AH108" i="23"/>
  <c r="AH109" i="23"/>
  <c r="AH110" i="23"/>
  <c r="AH111" i="23"/>
  <c r="AH112" i="23"/>
  <c r="AH113" i="23"/>
  <c r="AH114" i="23"/>
  <c r="AH15" i="23"/>
  <c r="Y16" i="23"/>
  <c r="Y17" i="23"/>
  <c r="Y18" i="23"/>
  <c r="Y19" i="23"/>
  <c r="Y20" i="23"/>
  <c r="Y21" i="23"/>
  <c r="Y22" i="23"/>
  <c r="Y23" i="23"/>
  <c r="Y24" i="23"/>
  <c r="Y25" i="23"/>
  <c r="Y26" i="23"/>
  <c r="Y27" i="23"/>
  <c r="Y28" i="23"/>
  <c r="Y29" i="23"/>
  <c r="Y30" i="23"/>
  <c r="Y31" i="23"/>
  <c r="Y32" i="23"/>
  <c r="Y33" i="23"/>
  <c r="Y34" i="23"/>
  <c r="Y35" i="23"/>
  <c r="Y36" i="23"/>
  <c r="Y37" i="23"/>
  <c r="Y38" i="23"/>
  <c r="Y39" i="23"/>
  <c r="Y40" i="23"/>
  <c r="Y41" i="23"/>
  <c r="Y42" i="23"/>
  <c r="Y43" i="23"/>
  <c r="Y44" i="23"/>
  <c r="Y45" i="23"/>
  <c r="Y46" i="23"/>
  <c r="Y47" i="23"/>
  <c r="Y48" i="23"/>
  <c r="Y49" i="23"/>
  <c r="Y50" i="23"/>
  <c r="Y51" i="23"/>
  <c r="Y52" i="23"/>
  <c r="Y53" i="23"/>
  <c r="Y54" i="23"/>
  <c r="Y55" i="23"/>
  <c r="Y56" i="23"/>
  <c r="Y57" i="23"/>
  <c r="Y58" i="23"/>
  <c r="Y59" i="23"/>
  <c r="Y60" i="23"/>
  <c r="Y61" i="23"/>
  <c r="Y62" i="23"/>
  <c r="Y63" i="23"/>
  <c r="Y64" i="23"/>
  <c r="Y65" i="23"/>
  <c r="Y66" i="23"/>
  <c r="Y67" i="23"/>
  <c r="Y68" i="23"/>
  <c r="Y69" i="23"/>
  <c r="Y70" i="23"/>
  <c r="Y71" i="23"/>
  <c r="Y72" i="23"/>
  <c r="Y73" i="23"/>
  <c r="Y74" i="23"/>
  <c r="Y75" i="23"/>
  <c r="Y76" i="23"/>
  <c r="Y77" i="23"/>
  <c r="Y78" i="23"/>
  <c r="Y79" i="23"/>
  <c r="Y80" i="23"/>
  <c r="Y81" i="23"/>
  <c r="Y82" i="23"/>
  <c r="Y83" i="23"/>
  <c r="Y84" i="23"/>
  <c r="Y85" i="23"/>
  <c r="Y86" i="23"/>
  <c r="Y87" i="23"/>
  <c r="Y88" i="23"/>
  <c r="Y89" i="23"/>
  <c r="Y90" i="23"/>
  <c r="Y91" i="23"/>
  <c r="Y92" i="23"/>
  <c r="Y93" i="23"/>
  <c r="Y94" i="23"/>
  <c r="Y95" i="23"/>
  <c r="Y96" i="23"/>
  <c r="Y97" i="23"/>
  <c r="Y98" i="23"/>
  <c r="Y99" i="23"/>
  <c r="Y100" i="23"/>
  <c r="Y101" i="23"/>
  <c r="Y102" i="23"/>
  <c r="Y103" i="23"/>
  <c r="Y104" i="23"/>
  <c r="Y105" i="23"/>
  <c r="Y106" i="23"/>
  <c r="Y107" i="23"/>
  <c r="Y108" i="23"/>
  <c r="Y109" i="23"/>
  <c r="Y110" i="23"/>
  <c r="Y111" i="23"/>
  <c r="Y112" i="23"/>
  <c r="Y113" i="23"/>
  <c r="Y114" i="23"/>
  <c r="Y15" i="23"/>
  <c r="P16" i="23"/>
  <c r="P17" i="23"/>
  <c r="P18" i="23"/>
  <c r="P19" i="23"/>
  <c r="P20" i="23"/>
  <c r="P21" i="23"/>
  <c r="P22" i="23"/>
  <c r="P23" i="23"/>
  <c r="P24" i="23"/>
  <c r="P25" i="23"/>
  <c r="P26" i="23"/>
  <c r="P27" i="23"/>
  <c r="P28" i="23"/>
  <c r="P29" i="23"/>
  <c r="P30" i="23"/>
  <c r="P31" i="23"/>
  <c r="P32" i="23"/>
  <c r="P33" i="23"/>
  <c r="P34" i="23"/>
  <c r="P35" i="23"/>
  <c r="P36" i="23"/>
  <c r="P37" i="23"/>
  <c r="P38" i="23"/>
  <c r="P39" i="23"/>
  <c r="P40" i="23"/>
  <c r="P41" i="23"/>
  <c r="P42" i="23"/>
  <c r="P43" i="23"/>
  <c r="P44" i="23"/>
  <c r="P45" i="23"/>
  <c r="P46" i="23"/>
  <c r="P47" i="23"/>
  <c r="P48" i="23"/>
  <c r="P49" i="23"/>
  <c r="P50" i="23"/>
  <c r="P51" i="23"/>
  <c r="P52" i="23"/>
  <c r="P53" i="23"/>
  <c r="P54" i="23"/>
  <c r="P55" i="23"/>
  <c r="P56" i="23"/>
  <c r="P57" i="23"/>
  <c r="P58" i="23"/>
  <c r="P59" i="23"/>
  <c r="P60" i="23"/>
  <c r="P61" i="23"/>
  <c r="P62" i="23"/>
  <c r="P63" i="23"/>
  <c r="P64" i="23"/>
  <c r="P65" i="23"/>
  <c r="P66" i="23"/>
  <c r="P67" i="23"/>
  <c r="P68" i="23"/>
  <c r="P69" i="23"/>
  <c r="P70" i="23"/>
  <c r="P71" i="23"/>
  <c r="P72" i="23"/>
  <c r="P73" i="23"/>
  <c r="P74" i="23"/>
  <c r="P75" i="23"/>
  <c r="P76" i="23"/>
  <c r="P77" i="23"/>
  <c r="P78" i="23"/>
  <c r="P79" i="23"/>
  <c r="P80" i="23"/>
  <c r="P81" i="23"/>
  <c r="P82" i="23"/>
  <c r="P83" i="23"/>
  <c r="P84" i="23"/>
  <c r="P85" i="23"/>
  <c r="P86" i="23"/>
  <c r="P87" i="23"/>
  <c r="P88" i="23"/>
  <c r="P89" i="23"/>
  <c r="P90" i="23"/>
  <c r="P91" i="23"/>
  <c r="P92" i="23"/>
  <c r="P93" i="23"/>
  <c r="P94" i="23"/>
  <c r="P95" i="23"/>
  <c r="P96" i="23"/>
  <c r="P97" i="23"/>
  <c r="P98" i="23"/>
  <c r="P99" i="23"/>
  <c r="P100" i="23"/>
  <c r="P101" i="23"/>
  <c r="P102" i="23"/>
  <c r="P103" i="23"/>
  <c r="P104" i="23"/>
  <c r="P105" i="23"/>
  <c r="P106" i="23"/>
  <c r="P107" i="23"/>
  <c r="P108" i="23"/>
  <c r="P109" i="23"/>
  <c r="P110" i="23"/>
  <c r="P111" i="23"/>
  <c r="P112" i="23"/>
  <c r="P113" i="23"/>
  <c r="P114" i="23"/>
  <c r="P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G47" i="23"/>
  <c r="G48" i="23"/>
  <c r="G49" i="23"/>
  <c r="G50" i="23"/>
  <c r="G51" i="23"/>
  <c r="G52" i="23"/>
  <c r="G53" i="23"/>
  <c r="G54" i="23"/>
  <c r="G55" i="23"/>
  <c r="G56" i="23"/>
  <c r="G57" i="23"/>
  <c r="G58" i="23"/>
  <c r="G59" i="23"/>
  <c r="G60" i="23"/>
  <c r="G61" i="23"/>
  <c r="G62" i="23"/>
  <c r="G63" i="23"/>
  <c r="G64" i="23"/>
  <c r="G65" i="23"/>
  <c r="G66" i="23"/>
  <c r="G67" i="23"/>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94" i="23"/>
  <c r="G95" i="23"/>
  <c r="G96" i="23"/>
  <c r="G97" i="23"/>
  <c r="G98" i="23"/>
  <c r="G99" i="23"/>
  <c r="G100" i="23"/>
  <c r="G101" i="23"/>
  <c r="G102" i="23"/>
  <c r="G103" i="23"/>
  <c r="G104" i="23"/>
  <c r="G105" i="23"/>
  <c r="G106" i="23"/>
  <c r="G107" i="23"/>
  <c r="G108" i="23"/>
  <c r="G109" i="23"/>
  <c r="G110" i="23"/>
  <c r="G111" i="23"/>
  <c r="G112" i="23"/>
  <c r="G113" i="23"/>
  <c r="G114" i="23"/>
  <c r="G15" i="23"/>
  <c r="F3" i="1"/>
  <c r="E12" i="1"/>
  <c r="F12" i="1"/>
  <c r="AP12" i="23"/>
  <c r="AG12" i="23"/>
  <c r="AD12" i="23"/>
  <c r="X12" i="23"/>
  <c r="O12" i="23"/>
  <c r="F12" i="23"/>
  <c r="C12" i="23"/>
  <c r="AN10" i="23"/>
  <c r="V7" i="23" s="1"/>
  <c r="AE10" i="23"/>
  <c r="T7" i="23" s="1"/>
  <c r="V10" i="23"/>
  <c r="R7" i="23" s="1"/>
  <c r="M10" i="23"/>
  <c r="P7" i="23" s="1"/>
  <c r="D10" i="23"/>
  <c r="N7" i="23" s="1"/>
  <c r="AH6" i="23"/>
  <c r="AH7" i="23"/>
  <c r="AH8" i="23"/>
  <c r="AH4" i="23"/>
  <c r="J11" i="51"/>
  <c r="I11" i="51"/>
  <c r="H11" i="51"/>
  <c r="G11" i="51"/>
  <c r="F11" i="51"/>
  <c r="J6" i="51"/>
  <c r="J7" i="51"/>
  <c r="J8" i="51"/>
  <c r="J4" i="51"/>
  <c r="N10" i="20"/>
  <c r="N11" i="20"/>
  <c r="N12" i="20"/>
  <c r="N8" i="20"/>
  <c r="G5" i="20"/>
  <c r="A34" i="1"/>
  <c r="D8" i="37"/>
  <c r="A29" i="37" s="1"/>
  <c r="D7" i="37"/>
  <c r="L9" i="37"/>
  <c r="L10" i="37"/>
  <c r="L11" i="37"/>
  <c r="L7" i="37"/>
  <c r="D6" i="37"/>
  <c r="A5" i="37"/>
  <c r="B50" i="37" s="1"/>
  <c r="A3" i="37"/>
  <c r="B12" i="1"/>
  <c r="D7" i="20"/>
  <c r="D8" i="20"/>
  <c r="A3" i="20"/>
  <c r="A5" i="20"/>
  <c r="D6" i="20"/>
  <c r="C8" i="51"/>
  <c r="H10" i="51" s="1"/>
  <c r="C7" i="51"/>
  <c r="C6" i="51"/>
  <c r="A5" i="51"/>
  <c r="A3" i="51"/>
  <c r="D8" i="23"/>
  <c r="L4" i="23" s="1"/>
  <c r="AO12" i="23"/>
  <c r="AN12" i="23"/>
  <c r="AM12" i="23"/>
  <c r="A16" i="23"/>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D7" i="23"/>
  <c r="E12" i="23"/>
  <c r="D12" i="23"/>
  <c r="N12" i="23"/>
  <c r="M12" i="23"/>
  <c r="L12" i="23"/>
  <c r="D6" i="23"/>
  <c r="A5" i="23"/>
  <c r="A3" i="23"/>
  <c r="AF12" i="23"/>
  <c r="AE12" i="23"/>
  <c r="W12" i="23"/>
  <c r="V12" i="23"/>
  <c r="U12" i="23"/>
  <c r="H50" i="37"/>
  <c r="C76" i="37"/>
  <c r="K76" i="37"/>
  <c r="G20" i="20" l="1"/>
  <c r="S74" i="65"/>
  <c r="AL74" i="65"/>
  <c r="T74" i="65"/>
  <c r="AA74" i="65"/>
  <c r="AC74" i="65"/>
  <c r="I74" i="65"/>
  <c r="AT74" i="65"/>
  <c r="H82" i="66"/>
  <c r="G83" i="66"/>
  <c r="C74" i="65"/>
  <c r="C79" i="20"/>
  <c r="AB74" i="65"/>
  <c r="AS74" i="65"/>
  <c r="AK74" i="65"/>
  <c r="D83" i="66"/>
  <c r="C84" i="66"/>
  <c r="B75" i="23"/>
  <c r="B80" i="20"/>
  <c r="B75" i="65"/>
  <c r="C30" i="37"/>
  <c r="D31" i="37" s="1"/>
  <c r="C26" i="37"/>
  <c r="C32" i="37" s="1"/>
  <c r="AI5" i="65"/>
  <c r="AK75" i="65"/>
  <c r="AU75" i="65"/>
  <c r="S75" i="65"/>
  <c r="AT75" i="65"/>
  <c r="J75" i="65"/>
  <c r="AC75" i="65"/>
  <c r="AB75" i="65"/>
  <c r="A22" i="20"/>
  <c r="A23" i="20" s="1"/>
  <c r="J10" i="20"/>
  <c r="K13" i="20"/>
  <c r="K14" i="20"/>
  <c r="K15" i="20"/>
  <c r="K12" i="20"/>
  <c r="K25" i="37"/>
  <c r="K24" i="37"/>
  <c r="H76" i="37"/>
  <c r="I31" i="37"/>
  <c r="F76" i="37"/>
  <c r="G31" i="37"/>
  <c r="E29" i="37"/>
  <c r="E77" i="37" s="1"/>
  <c r="E32" i="37"/>
  <c r="D76" i="37"/>
  <c r="E31" i="37"/>
  <c r="I76" i="37"/>
  <c r="J31" i="37"/>
  <c r="G76" i="37"/>
  <c r="H31" i="37"/>
  <c r="E76" i="37"/>
  <c r="F31" i="37"/>
  <c r="J32" i="37"/>
  <c r="J29" i="37"/>
  <c r="J77" i="37" s="1"/>
  <c r="F32" i="37"/>
  <c r="F29" i="37"/>
  <c r="F77" i="37" s="1"/>
  <c r="K17" i="37"/>
  <c r="K18" i="37"/>
  <c r="J76" i="37"/>
  <c r="K19" i="37"/>
  <c r="K20" i="37"/>
  <c r="I15" i="23"/>
  <c r="C15" i="37"/>
  <c r="B77" i="37"/>
  <c r="L13" i="37"/>
  <c r="R15" i="23"/>
  <c r="Q15" i="23"/>
  <c r="AU15" i="23"/>
  <c r="K15" i="23"/>
  <c r="AS15" i="23"/>
  <c r="AB15" i="23"/>
  <c r="J15" i="23"/>
  <c r="AU16" i="23"/>
  <c r="H15" i="23"/>
  <c r="C11" i="51"/>
  <c r="T15" i="23"/>
  <c r="AT15" i="23"/>
  <c r="S15" i="23"/>
  <c r="AR15" i="23"/>
  <c r="AK15" i="23"/>
  <c r="L8" i="37"/>
  <c r="N9" i="20"/>
  <c r="AH12" i="23"/>
  <c r="P12" i="23"/>
  <c r="D22" i="20"/>
  <c r="AH5" i="23"/>
  <c r="AR17" i="23"/>
  <c r="AA15" i="23"/>
  <c r="AC15" i="23"/>
  <c r="AJ15" i="23"/>
  <c r="Z15" i="23"/>
  <c r="AL15" i="23"/>
  <c r="AQ12" i="23"/>
  <c r="J5" i="51"/>
  <c r="Y12" i="23"/>
  <c r="G12" i="23"/>
  <c r="K27" i="37"/>
  <c r="F20" i="20"/>
  <c r="I20" i="20" s="1"/>
  <c r="AA16" i="23"/>
  <c r="K26" i="37" l="1"/>
  <c r="K75" i="65"/>
  <c r="AL75" i="65"/>
  <c r="AA75" i="65"/>
  <c r="T75" i="65"/>
  <c r="AJ75" i="65"/>
  <c r="C85" i="66"/>
  <c r="B76" i="65"/>
  <c r="T76" i="65" s="1"/>
  <c r="B76" i="23"/>
  <c r="B81" i="20"/>
  <c r="AS75" i="65"/>
  <c r="G84" i="66"/>
  <c r="C75" i="65"/>
  <c r="C80" i="20"/>
  <c r="R75" i="65"/>
  <c r="I75" i="65"/>
  <c r="D84" i="66"/>
  <c r="H83" i="66"/>
  <c r="AA76" i="65"/>
  <c r="K76" i="65"/>
  <c r="I32" i="37"/>
  <c r="I29" i="37"/>
  <c r="I77" i="37" s="1"/>
  <c r="C29" i="37"/>
  <c r="C77" i="37" s="1"/>
  <c r="D29" i="37"/>
  <c r="D77" i="37" s="1"/>
  <c r="D32" i="37"/>
  <c r="H29" i="37"/>
  <c r="H77" i="37" s="1"/>
  <c r="H32" i="37"/>
  <c r="G29" i="37"/>
  <c r="G77" i="37" s="1"/>
  <c r="G32" i="37"/>
  <c r="G33" i="37" s="1"/>
  <c r="K30" i="37"/>
  <c r="K31" i="37" s="1"/>
  <c r="G36" i="37" s="1"/>
  <c r="AI16" i="23"/>
  <c r="K16" i="23"/>
  <c r="Z16" i="23"/>
  <c r="R16" i="23"/>
  <c r="Z17" i="23"/>
  <c r="AJ17" i="23"/>
  <c r="AK16" i="23"/>
  <c r="AB16" i="23"/>
  <c r="Q16" i="23"/>
  <c r="AJ16" i="23"/>
  <c r="J16" i="23"/>
  <c r="AL16" i="23"/>
  <c r="AT16" i="23"/>
  <c r="I17" i="23"/>
  <c r="AR16" i="23"/>
  <c r="AC16" i="23"/>
  <c r="T16" i="23"/>
  <c r="AC17" i="23"/>
  <c r="AL17" i="23"/>
  <c r="I16" i="23"/>
  <c r="H16" i="23"/>
  <c r="S17" i="23"/>
  <c r="AI17" i="23"/>
  <c r="AB17" i="23"/>
  <c r="AT17" i="23"/>
  <c r="AA18" i="23"/>
  <c r="Q17" i="23"/>
  <c r="AS16" i="23"/>
  <c r="S16" i="23"/>
  <c r="AK17" i="23"/>
  <c r="AA17" i="23"/>
  <c r="AU17" i="23"/>
  <c r="T17" i="23"/>
  <c r="H17" i="23"/>
  <c r="K17" i="23"/>
  <c r="AS17" i="23"/>
  <c r="J17" i="23"/>
  <c r="R17" i="23"/>
  <c r="A24" i="20"/>
  <c r="D23" i="20"/>
  <c r="E33" i="37"/>
  <c r="E21" i="20"/>
  <c r="D33" i="37"/>
  <c r="H18" i="23"/>
  <c r="F33" i="37"/>
  <c r="G21" i="20" l="1"/>
  <c r="AB76" i="65"/>
  <c r="AJ76" i="65"/>
  <c r="AK76" i="65"/>
  <c r="AL76" i="65"/>
  <c r="J76" i="65"/>
  <c r="AC76" i="65"/>
  <c r="AU76" i="65"/>
  <c r="AS76" i="65"/>
  <c r="S76" i="65"/>
  <c r="R76" i="65"/>
  <c r="H84" i="66"/>
  <c r="G85" i="66"/>
  <c r="C81" i="20"/>
  <c r="C76" i="65"/>
  <c r="C86" i="66"/>
  <c r="B77" i="65"/>
  <c r="J77" i="65" s="1"/>
  <c r="B77" i="23"/>
  <c r="B82" i="20"/>
  <c r="AT76" i="65"/>
  <c r="D85" i="66"/>
  <c r="I76" i="65"/>
  <c r="J33" i="37"/>
  <c r="I33" i="37"/>
  <c r="H33" i="37"/>
  <c r="AI18" i="23"/>
  <c r="AJ18" i="23"/>
  <c r="Z18" i="23"/>
  <c r="AI19" i="23"/>
  <c r="AR18" i="23"/>
  <c r="K18" i="23"/>
  <c r="AL18" i="23"/>
  <c r="AB18" i="23"/>
  <c r="R18" i="23"/>
  <c r="AC18" i="23"/>
  <c r="J18" i="23"/>
  <c r="T18" i="23"/>
  <c r="AU18" i="23"/>
  <c r="S18" i="23"/>
  <c r="AT18" i="23"/>
  <c r="AK18" i="23"/>
  <c r="Q18" i="23"/>
  <c r="I18" i="23"/>
  <c r="AS18" i="23"/>
  <c r="F21" i="20"/>
  <c r="I21" i="20" s="1"/>
  <c r="A25" i="20"/>
  <c r="D24" i="20"/>
  <c r="AK19" i="23"/>
  <c r="AL77" i="65" l="1"/>
  <c r="T77" i="65"/>
  <c r="K77" i="65"/>
  <c r="D86" i="66"/>
  <c r="C87" i="66"/>
  <c r="B78" i="65"/>
  <c r="J78" i="65" s="1"/>
  <c r="B83" i="20"/>
  <c r="B78" i="23"/>
  <c r="AA77" i="65"/>
  <c r="AT77" i="65"/>
  <c r="AJ77" i="65"/>
  <c r="R77" i="65"/>
  <c r="I77" i="65"/>
  <c r="AC77" i="65"/>
  <c r="AU77" i="65"/>
  <c r="AS77" i="65"/>
  <c r="G86" i="66"/>
  <c r="C82" i="20"/>
  <c r="C77" i="65"/>
  <c r="S77" i="65"/>
  <c r="AK77" i="65"/>
  <c r="AB77" i="65"/>
  <c r="H85" i="66"/>
  <c r="E22" i="20"/>
  <c r="K29" i="37"/>
  <c r="K77" i="37" s="1"/>
  <c r="K32" i="37"/>
  <c r="Q19" i="23"/>
  <c r="T19" i="23"/>
  <c r="AA19" i="23"/>
  <c r="S19" i="23"/>
  <c r="AR19" i="23"/>
  <c r="AU19" i="23"/>
  <c r="AS19" i="23"/>
  <c r="J19" i="23"/>
  <c r="I19" i="23"/>
  <c r="AC19" i="23"/>
  <c r="Z19" i="23"/>
  <c r="AB19" i="23"/>
  <c r="AL19" i="23"/>
  <c r="K19" i="23"/>
  <c r="H19" i="23"/>
  <c r="AT19" i="23"/>
  <c r="R19" i="23"/>
  <c r="AJ19" i="23"/>
  <c r="A26" i="20"/>
  <c r="D25" i="20"/>
  <c r="Z20" i="23"/>
  <c r="AA20" i="23"/>
  <c r="AC20" i="23"/>
  <c r="AB20" i="23"/>
  <c r="AJ20" i="23"/>
  <c r="AK20" i="23"/>
  <c r="K20" i="23"/>
  <c r="AL20" i="23"/>
  <c r="AU20" i="23"/>
  <c r="R20" i="23"/>
  <c r="AR20" i="23"/>
  <c r="S20" i="23"/>
  <c r="I20" i="23"/>
  <c r="AI20" i="23"/>
  <c r="Q20" i="23"/>
  <c r="H20" i="23"/>
  <c r="J20" i="23"/>
  <c r="AS20" i="23"/>
  <c r="AT20" i="23"/>
  <c r="T20" i="23"/>
  <c r="G22" i="20" l="1"/>
  <c r="F22" i="20"/>
  <c r="I22" i="20" s="1"/>
  <c r="I78" i="65"/>
  <c r="AL78" i="65"/>
  <c r="K78" i="65"/>
  <c r="AT78" i="65"/>
  <c r="AK78" i="65"/>
  <c r="S78" i="65"/>
  <c r="AU78" i="65"/>
  <c r="C88" i="66"/>
  <c r="B79" i="23"/>
  <c r="B84" i="20"/>
  <c r="B79" i="65"/>
  <c r="AU79" i="65" s="1"/>
  <c r="H86" i="66"/>
  <c r="T78" i="65"/>
  <c r="AC78" i="65"/>
  <c r="AJ78" i="65"/>
  <c r="D87" i="66"/>
  <c r="AA78" i="65"/>
  <c r="AS78" i="65"/>
  <c r="G87" i="66"/>
  <c r="C83" i="20"/>
  <c r="C78" i="65"/>
  <c r="AB78" i="65"/>
  <c r="R78" i="65"/>
  <c r="AT79" i="65"/>
  <c r="T79" i="65"/>
  <c r="E23" i="20"/>
  <c r="G23" i="20" s="1"/>
  <c r="A27" i="20"/>
  <c r="D26" i="20"/>
  <c r="Z21" i="23"/>
  <c r="AI21" i="23"/>
  <c r="AB21" i="23"/>
  <c r="AC21" i="23"/>
  <c r="AA21" i="23"/>
  <c r="AK21" i="23"/>
  <c r="AR21" i="23"/>
  <c r="AT21" i="23"/>
  <c r="Q21" i="23"/>
  <c r="S21" i="23"/>
  <c r="I21" i="23"/>
  <c r="AJ21" i="23"/>
  <c r="AL21" i="23"/>
  <c r="AU21" i="23"/>
  <c r="R21" i="23"/>
  <c r="H21" i="23"/>
  <c r="K21" i="23"/>
  <c r="AS21" i="23"/>
  <c r="T21" i="23"/>
  <c r="J21" i="23"/>
  <c r="K33" i="37"/>
  <c r="H36" i="37" s="1"/>
  <c r="AB79" i="65" l="1"/>
  <c r="AC79" i="65"/>
  <c r="AS79" i="65"/>
  <c r="I79" i="65"/>
  <c r="J79" i="65"/>
  <c r="S79" i="65"/>
  <c r="AJ79" i="65"/>
  <c r="AL79" i="65"/>
  <c r="AA79" i="65"/>
  <c r="AK79" i="65"/>
  <c r="R79" i="65"/>
  <c r="C89" i="66"/>
  <c r="B80" i="65"/>
  <c r="J80" i="65" s="1"/>
  <c r="B80" i="23"/>
  <c r="B85" i="20"/>
  <c r="H87" i="66"/>
  <c r="D88" i="66"/>
  <c r="K79" i="65"/>
  <c r="G88" i="66"/>
  <c r="C79" i="65"/>
  <c r="C84" i="20"/>
  <c r="AL80" i="65"/>
  <c r="T80" i="65"/>
  <c r="AU80" i="65"/>
  <c r="R80" i="65"/>
  <c r="F23" i="20"/>
  <c r="I23" i="20" s="1"/>
  <c r="H20" i="20"/>
  <c r="N20" i="20" s="1"/>
  <c r="D27" i="20"/>
  <c r="A28" i="20"/>
  <c r="E24" i="20"/>
  <c r="G24" i="20" s="1"/>
  <c r="Z22" i="23"/>
  <c r="AB22" i="23"/>
  <c r="AA22" i="23"/>
  <c r="AJ22" i="23"/>
  <c r="AK22" i="23"/>
  <c r="AL22" i="23"/>
  <c r="AU22" i="23"/>
  <c r="T22" i="23"/>
  <c r="AI22" i="23"/>
  <c r="AC22" i="23"/>
  <c r="AS22" i="23"/>
  <c r="AT22" i="23"/>
  <c r="Q22" i="23"/>
  <c r="AR22" i="23"/>
  <c r="S22" i="23"/>
  <c r="I22" i="23"/>
  <c r="R22" i="23"/>
  <c r="K22" i="23"/>
  <c r="J22" i="23"/>
  <c r="H22" i="23"/>
  <c r="AS80" i="65" l="1"/>
  <c r="AB80" i="65"/>
  <c r="AJ80" i="65"/>
  <c r="AT80" i="65"/>
  <c r="AC80" i="65"/>
  <c r="AA80" i="65"/>
  <c r="AK80" i="65"/>
  <c r="I80" i="65"/>
  <c r="K80" i="65"/>
  <c r="S80" i="65"/>
  <c r="G89" i="66"/>
  <c r="C80" i="65"/>
  <c r="C85" i="20"/>
  <c r="H88" i="66"/>
  <c r="D89" i="66"/>
  <c r="C90" i="66"/>
  <c r="B81" i="23"/>
  <c r="B86" i="20"/>
  <c r="B81" i="65"/>
  <c r="I81" i="65" s="1"/>
  <c r="AK81" i="65"/>
  <c r="AT81" i="65"/>
  <c r="R81" i="65"/>
  <c r="AS81" i="65"/>
  <c r="AC81" i="65"/>
  <c r="K81" i="65"/>
  <c r="AL81" i="65"/>
  <c r="J81" i="65"/>
  <c r="AJ81" i="65"/>
  <c r="AA81" i="65"/>
  <c r="H23" i="20"/>
  <c r="H21" i="20"/>
  <c r="N21" i="20" s="1"/>
  <c r="H22" i="20"/>
  <c r="N22" i="20" s="1"/>
  <c r="D28" i="20"/>
  <c r="A29" i="20"/>
  <c r="AA23" i="23"/>
  <c r="AB23" i="23"/>
  <c r="AJ23" i="23"/>
  <c r="AL23" i="23"/>
  <c r="Z23" i="23"/>
  <c r="AI23" i="23"/>
  <c r="AS23" i="23"/>
  <c r="R23" i="23"/>
  <c r="H23" i="23"/>
  <c r="J23" i="23"/>
  <c r="AK23" i="23"/>
  <c r="AC23" i="23"/>
  <c r="T23" i="23"/>
  <c r="AT23" i="23"/>
  <c r="Q23" i="23"/>
  <c r="AU23" i="23"/>
  <c r="AR23" i="23"/>
  <c r="S23" i="23"/>
  <c r="I23" i="23"/>
  <c r="K23" i="23"/>
  <c r="F24" i="20"/>
  <c r="H24" i="20" l="1"/>
  <c r="I24" i="20"/>
  <c r="D90" i="66"/>
  <c r="S81" i="65"/>
  <c r="T81" i="65"/>
  <c r="AU81" i="65"/>
  <c r="H89" i="66"/>
  <c r="AB81" i="65"/>
  <c r="C91" i="66"/>
  <c r="B82" i="23"/>
  <c r="B87" i="20"/>
  <c r="B82" i="65"/>
  <c r="R82" i="65" s="1"/>
  <c r="G90" i="66"/>
  <c r="C81" i="65"/>
  <c r="C86" i="20"/>
  <c r="N23" i="20"/>
  <c r="D29" i="20"/>
  <c r="A30" i="20"/>
  <c r="E25" i="20"/>
  <c r="G25" i="20" s="1"/>
  <c r="Z24" i="23"/>
  <c r="AA24" i="23"/>
  <c r="AC24" i="23"/>
  <c r="AI24" i="23"/>
  <c r="AL24" i="23"/>
  <c r="K24" i="23"/>
  <c r="AB24" i="23"/>
  <c r="AK24" i="23"/>
  <c r="AJ24" i="23"/>
  <c r="AR24" i="23"/>
  <c r="S24" i="23"/>
  <c r="AS24" i="23"/>
  <c r="T24" i="23"/>
  <c r="J24" i="23"/>
  <c r="AT24" i="23"/>
  <c r="R24" i="23"/>
  <c r="AU24" i="23"/>
  <c r="Q24" i="23"/>
  <c r="H24" i="23"/>
  <c r="I24" i="23"/>
  <c r="N24" i="20" l="1"/>
  <c r="T82" i="65"/>
  <c r="J82" i="65"/>
  <c r="I82" i="65"/>
  <c r="AL82" i="65"/>
  <c r="AS82" i="65"/>
  <c r="K82" i="65"/>
  <c r="AT82" i="65"/>
  <c r="S82" i="65"/>
  <c r="AA82" i="65"/>
  <c r="AU82" i="65"/>
  <c r="H90" i="66"/>
  <c r="C92" i="66"/>
  <c r="B83" i="23"/>
  <c r="B88" i="20"/>
  <c r="B83" i="65"/>
  <c r="AJ83" i="65" s="1"/>
  <c r="AC82" i="65"/>
  <c r="AB82" i="65"/>
  <c r="G91" i="66"/>
  <c r="C82" i="65"/>
  <c r="C87" i="20"/>
  <c r="AJ82" i="65"/>
  <c r="AK82" i="65"/>
  <c r="D91" i="66"/>
  <c r="F25" i="20"/>
  <c r="I25" i="20" s="1"/>
  <c r="D30" i="20"/>
  <c r="A31" i="20"/>
  <c r="Z25" i="23"/>
  <c r="AI25" i="23"/>
  <c r="AK25" i="23"/>
  <c r="AA25" i="23"/>
  <c r="AC25" i="23"/>
  <c r="AJ25" i="23"/>
  <c r="AR25" i="23"/>
  <c r="AT25" i="23"/>
  <c r="Q25" i="23"/>
  <c r="S25" i="23"/>
  <c r="I25" i="23"/>
  <c r="AB25" i="23"/>
  <c r="AL25" i="23"/>
  <c r="AU25" i="23"/>
  <c r="R25" i="23"/>
  <c r="H25" i="23"/>
  <c r="J25" i="23"/>
  <c r="K25" i="23"/>
  <c r="AS25" i="23"/>
  <c r="T25" i="23"/>
  <c r="AL83" i="65" l="1"/>
  <c r="R83" i="65"/>
  <c r="I83" i="65"/>
  <c r="J83" i="65"/>
  <c r="AT83" i="65"/>
  <c r="AK83" i="65"/>
  <c r="G92" i="66"/>
  <c r="C83" i="65"/>
  <c r="C88" i="20"/>
  <c r="S83" i="65"/>
  <c r="K83" i="65"/>
  <c r="AS83" i="65"/>
  <c r="AU83" i="65"/>
  <c r="AA83" i="65"/>
  <c r="D92" i="66"/>
  <c r="C93" i="66"/>
  <c r="B84" i="65"/>
  <c r="B84" i="23"/>
  <c r="B89" i="20"/>
  <c r="AB83" i="65"/>
  <c r="T83" i="65"/>
  <c r="AC83" i="65"/>
  <c r="H91" i="66"/>
  <c r="H25" i="20"/>
  <c r="E26" i="20"/>
  <c r="G26" i="20" s="1"/>
  <c r="D31" i="20"/>
  <c r="A32" i="20"/>
  <c r="Z26" i="23"/>
  <c r="AB26" i="23"/>
  <c r="AA26" i="23"/>
  <c r="AC26" i="23"/>
  <c r="AK26" i="23"/>
  <c r="AJ26" i="23"/>
  <c r="AI26" i="23"/>
  <c r="AU26" i="23"/>
  <c r="T26" i="23"/>
  <c r="AL26" i="23"/>
  <c r="AR26" i="23"/>
  <c r="R26" i="23"/>
  <c r="S26" i="23"/>
  <c r="H26" i="23"/>
  <c r="I26" i="23"/>
  <c r="K26" i="23"/>
  <c r="Q26" i="23"/>
  <c r="AT26" i="23"/>
  <c r="J26" i="23"/>
  <c r="AS26" i="23"/>
  <c r="AJ84" i="65" l="1"/>
  <c r="R84" i="65"/>
  <c r="AB84" i="65"/>
  <c r="AS84" i="65"/>
  <c r="AK84" i="65"/>
  <c r="AC84" i="65"/>
  <c r="AA84" i="65"/>
  <c r="AL84" i="65"/>
  <c r="I84" i="65"/>
  <c r="T84" i="65"/>
  <c r="AT84" i="65"/>
  <c r="J84" i="65"/>
  <c r="S84" i="65"/>
  <c r="AU84" i="65"/>
  <c r="K84" i="65"/>
  <c r="G93" i="66"/>
  <c r="C89" i="20"/>
  <c r="C84" i="65"/>
  <c r="C94" i="66"/>
  <c r="B85" i="65"/>
  <c r="B85" i="23"/>
  <c r="B90" i="20"/>
  <c r="H92" i="66"/>
  <c r="D93" i="66"/>
  <c r="N25" i="20"/>
  <c r="AB85" i="65"/>
  <c r="J85" i="65"/>
  <c r="AT85" i="65"/>
  <c r="F26" i="20"/>
  <c r="A33" i="20"/>
  <c r="D32" i="20"/>
  <c r="AJ27" i="23"/>
  <c r="AL27" i="23"/>
  <c r="AC27" i="23"/>
  <c r="Z27" i="23"/>
  <c r="AB27" i="23"/>
  <c r="AS27" i="23"/>
  <c r="R27" i="23"/>
  <c r="H27" i="23"/>
  <c r="J27" i="23"/>
  <c r="AA27" i="23"/>
  <c r="AI27" i="23"/>
  <c r="AK27" i="23"/>
  <c r="AT27" i="23"/>
  <c r="Q27" i="23"/>
  <c r="AU27" i="23"/>
  <c r="T27" i="23"/>
  <c r="K27" i="23"/>
  <c r="AR27" i="23"/>
  <c r="S27" i="23"/>
  <c r="I27" i="23"/>
  <c r="H26" i="20" l="1"/>
  <c r="I26" i="20"/>
  <c r="AJ85" i="65"/>
  <c r="AK85" i="65"/>
  <c r="R85" i="65"/>
  <c r="AL85" i="65"/>
  <c r="D94" i="66"/>
  <c r="C95" i="66"/>
  <c r="B86" i="65"/>
  <c r="B86" i="23"/>
  <c r="B91" i="20"/>
  <c r="S85" i="65"/>
  <c r="K85" i="65"/>
  <c r="AS85" i="65"/>
  <c r="AA85" i="65"/>
  <c r="H93" i="66"/>
  <c r="T85" i="65"/>
  <c r="AC85" i="65"/>
  <c r="AU85" i="65"/>
  <c r="I85" i="65"/>
  <c r="G94" i="66"/>
  <c r="C90" i="20"/>
  <c r="C85" i="65"/>
  <c r="AB86" i="65"/>
  <c r="I86" i="65"/>
  <c r="AJ86" i="65"/>
  <c r="T86" i="65"/>
  <c r="AU86" i="65"/>
  <c r="AT86" i="65"/>
  <c r="R86" i="65"/>
  <c r="AC86" i="65"/>
  <c r="AS86" i="65"/>
  <c r="K86" i="65"/>
  <c r="AL86" i="65"/>
  <c r="AA86" i="65"/>
  <c r="E27" i="20"/>
  <c r="G27" i="20" s="1"/>
  <c r="A34" i="20"/>
  <c r="D33" i="20"/>
  <c r="Z28" i="23"/>
  <c r="AA28" i="23"/>
  <c r="AB28" i="23"/>
  <c r="AC28" i="23"/>
  <c r="AJ28" i="23"/>
  <c r="AL28" i="23"/>
  <c r="AK28" i="23"/>
  <c r="K28" i="23"/>
  <c r="AI28" i="23"/>
  <c r="AS28" i="23"/>
  <c r="T28" i="23"/>
  <c r="AT28" i="23"/>
  <c r="Q28" i="23"/>
  <c r="I28" i="23"/>
  <c r="AU28" i="23"/>
  <c r="H28" i="23"/>
  <c r="J28" i="23"/>
  <c r="S28" i="23"/>
  <c r="AR28" i="23"/>
  <c r="R28" i="23"/>
  <c r="N26" i="20" l="1"/>
  <c r="C96" i="66"/>
  <c r="B87" i="23"/>
  <c r="B92" i="20"/>
  <c r="B87" i="65"/>
  <c r="AS87" i="65" s="1"/>
  <c r="G95" i="66"/>
  <c r="C91" i="20"/>
  <c r="C86" i="65"/>
  <c r="D95" i="66"/>
  <c r="AK86" i="65"/>
  <c r="H94" i="66"/>
  <c r="J86" i="65"/>
  <c r="S86" i="65"/>
  <c r="AT87" i="65"/>
  <c r="R87" i="65"/>
  <c r="AC87" i="65"/>
  <c r="AA87" i="65"/>
  <c r="K87" i="65"/>
  <c r="T87" i="65"/>
  <c r="F27" i="20"/>
  <c r="I27" i="20" s="1"/>
  <c r="A35" i="20"/>
  <c r="D34" i="20"/>
  <c r="Z29" i="23"/>
  <c r="AA29" i="23"/>
  <c r="AI29" i="23"/>
  <c r="AB29" i="23"/>
  <c r="AR29" i="23"/>
  <c r="AT29" i="23"/>
  <c r="Q29" i="23"/>
  <c r="S29" i="23"/>
  <c r="I29" i="23"/>
  <c r="AK29" i="23"/>
  <c r="AL29" i="23"/>
  <c r="AC29" i="23"/>
  <c r="AJ29" i="23"/>
  <c r="AS29" i="23"/>
  <c r="T29" i="23"/>
  <c r="J29" i="23"/>
  <c r="R29" i="23"/>
  <c r="AU29" i="23"/>
  <c r="H29" i="23"/>
  <c r="K29" i="23"/>
  <c r="AJ87" i="65" l="1"/>
  <c r="AU87" i="65"/>
  <c r="J87" i="65"/>
  <c r="S87" i="65"/>
  <c r="I87" i="65"/>
  <c r="AL87" i="65"/>
  <c r="AB87" i="65"/>
  <c r="G96" i="66"/>
  <c r="C87" i="65"/>
  <c r="C92" i="20"/>
  <c r="H95" i="66"/>
  <c r="D96" i="66"/>
  <c r="AK87" i="65"/>
  <c r="C97" i="66"/>
  <c r="B88" i="65"/>
  <c r="B88" i="23"/>
  <c r="B93" i="20"/>
  <c r="AA88" i="65"/>
  <c r="K88" i="65"/>
  <c r="AJ88" i="65"/>
  <c r="T88" i="65"/>
  <c r="H27" i="20"/>
  <c r="N27" i="20" s="1"/>
  <c r="E28" i="20"/>
  <c r="A36" i="20"/>
  <c r="D35" i="20"/>
  <c r="Z30" i="23"/>
  <c r="AB30" i="23"/>
  <c r="AI30" i="23"/>
  <c r="AK30" i="23"/>
  <c r="AL30" i="23"/>
  <c r="AU30" i="23"/>
  <c r="T30" i="23"/>
  <c r="AC30" i="23"/>
  <c r="AJ30" i="23"/>
  <c r="AA30" i="23"/>
  <c r="AR30" i="23"/>
  <c r="R30" i="23"/>
  <c r="S30" i="23"/>
  <c r="I30" i="23"/>
  <c r="AT30" i="23"/>
  <c r="H30" i="23"/>
  <c r="Q30" i="23"/>
  <c r="AS30" i="23"/>
  <c r="K30" i="23"/>
  <c r="J30" i="23"/>
  <c r="I88" i="65" l="1"/>
  <c r="AC88" i="65"/>
  <c r="AB88" i="65"/>
  <c r="AS88" i="65"/>
  <c r="AK88" i="65"/>
  <c r="AT88" i="65"/>
  <c r="AU88" i="65"/>
  <c r="J88" i="65"/>
  <c r="S88" i="65"/>
  <c r="AL88" i="65"/>
  <c r="R88" i="65"/>
  <c r="D97" i="66"/>
  <c r="H96" i="66"/>
  <c r="C98" i="66"/>
  <c r="B89" i="23"/>
  <c r="B94" i="20"/>
  <c r="B89" i="65"/>
  <c r="K89" i="65" s="1"/>
  <c r="G97" i="66"/>
  <c r="C88" i="65"/>
  <c r="C93" i="20"/>
  <c r="AU89" i="65"/>
  <c r="J89" i="65"/>
  <c r="G28" i="20"/>
  <c r="F28" i="20"/>
  <c r="I28" i="20" s="1"/>
  <c r="D36" i="20"/>
  <c r="A37" i="20"/>
  <c r="AJ31" i="23"/>
  <c r="AA31" i="23"/>
  <c r="AC31" i="23"/>
  <c r="AL31" i="23"/>
  <c r="AB31" i="23"/>
  <c r="AI31" i="23"/>
  <c r="AK31" i="23"/>
  <c r="AS31" i="23"/>
  <c r="R31" i="23"/>
  <c r="H31" i="23"/>
  <c r="J31" i="23"/>
  <c r="Z31" i="23"/>
  <c r="AU31" i="23"/>
  <c r="AR31" i="23"/>
  <c r="S31" i="23"/>
  <c r="I31" i="23"/>
  <c r="K31" i="23"/>
  <c r="Q31" i="23"/>
  <c r="T31" i="23"/>
  <c r="AT31" i="23"/>
  <c r="AA89" i="65" l="1"/>
  <c r="T89" i="65"/>
  <c r="AS89" i="65"/>
  <c r="C99" i="66"/>
  <c r="B90" i="23"/>
  <c r="B95" i="20"/>
  <c r="B90" i="65"/>
  <c r="R89" i="65"/>
  <c r="I89" i="65"/>
  <c r="AJ89" i="65"/>
  <c r="G98" i="66"/>
  <c r="C89" i="65"/>
  <c r="C94" i="20"/>
  <c r="H97" i="66"/>
  <c r="AC89" i="65"/>
  <c r="AB89" i="65"/>
  <c r="AT89" i="65"/>
  <c r="AK89" i="65"/>
  <c r="AL89" i="65"/>
  <c r="S89" i="65"/>
  <c r="D98" i="66"/>
  <c r="AJ90" i="65"/>
  <c r="T90" i="65"/>
  <c r="AT90" i="65"/>
  <c r="R90" i="65"/>
  <c r="AS90" i="65"/>
  <c r="AC90" i="65"/>
  <c r="AB90" i="65"/>
  <c r="AA90" i="65"/>
  <c r="K90" i="65"/>
  <c r="AL90" i="65"/>
  <c r="J90" i="65"/>
  <c r="AK90" i="65"/>
  <c r="I90" i="65"/>
  <c r="AU90" i="65"/>
  <c r="S90" i="65"/>
  <c r="H28" i="20"/>
  <c r="N28" i="20" s="1"/>
  <c r="E29" i="20"/>
  <c r="D37" i="20"/>
  <c r="A38" i="20"/>
  <c r="Z32" i="23"/>
  <c r="AA32" i="23"/>
  <c r="AC32" i="23"/>
  <c r="K32" i="23"/>
  <c r="AB32" i="23"/>
  <c r="AJ32" i="23"/>
  <c r="AK32" i="23"/>
  <c r="AI32" i="23"/>
  <c r="AL32" i="23"/>
  <c r="AT32" i="23"/>
  <c r="Q32" i="23"/>
  <c r="AU32" i="23"/>
  <c r="R32" i="23"/>
  <c r="H32" i="23"/>
  <c r="AR32" i="23"/>
  <c r="AS32" i="23"/>
  <c r="S32" i="23"/>
  <c r="T32" i="23"/>
  <c r="J32" i="23"/>
  <c r="I32" i="23"/>
  <c r="C100" i="66" l="1"/>
  <c r="B91" i="23"/>
  <c r="B96" i="20"/>
  <c r="B91" i="65"/>
  <c r="H98" i="66"/>
  <c r="D99" i="66"/>
  <c r="G99" i="66"/>
  <c r="C90" i="65"/>
  <c r="C95" i="20"/>
  <c r="AS91" i="65"/>
  <c r="AC91" i="65"/>
  <c r="I91" i="65"/>
  <c r="AJ91" i="65"/>
  <c r="AB91" i="65"/>
  <c r="R91" i="65"/>
  <c r="AT91" i="65"/>
  <c r="G29" i="20"/>
  <c r="F29" i="20"/>
  <c r="I29" i="20" s="1"/>
  <c r="D38" i="20"/>
  <c r="A39" i="20"/>
  <c r="AA33" i="23"/>
  <c r="AB33" i="23"/>
  <c r="AI33" i="23"/>
  <c r="AJ33" i="23"/>
  <c r="AL33" i="23"/>
  <c r="AR33" i="23"/>
  <c r="AT33" i="23"/>
  <c r="Q33" i="23"/>
  <c r="S33" i="23"/>
  <c r="I33" i="23"/>
  <c r="Z33" i="23"/>
  <c r="AC33" i="23"/>
  <c r="AK33" i="23"/>
  <c r="AS33" i="23"/>
  <c r="T33" i="23"/>
  <c r="AU33" i="23"/>
  <c r="H33" i="23"/>
  <c r="K33" i="23"/>
  <c r="R33" i="23"/>
  <c r="J33" i="23"/>
  <c r="J91" i="65" l="1"/>
  <c r="AK91" i="65"/>
  <c r="S91" i="65"/>
  <c r="AL91" i="65"/>
  <c r="AU91" i="65"/>
  <c r="K91" i="65"/>
  <c r="T91" i="65"/>
  <c r="AA91" i="65"/>
  <c r="H99" i="66"/>
  <c r="G100" i="66"/>
  <c r="C91" i="65"/>
  <c r="C96" i="20"/>
  <c r="D100" i="66"/>
  <c r="C101" i="66"/>
  <c r="B92" i="65"/>
  <c r="J92" i="65" s="1"/>
  <c r="B92" i="23"/>
  <c r="B97" i="20"/>
  <c r="AU92" i="65"/>
  <c r="S92" i="65"/>
  <c r="AT92" i="65"/>
  <c r="I92" i="65"/>
  <c r="AA92" i="65"/>
  <c r="H29" i="20"/>
  <c r="N29" i="20" s="1"/>
  <c r="E30" i="20"/>
  <c r="G30" i="20" s="1"/>
  <c r="D39" i="20"/>
  <c r="A40" i="20"/>
  <c r="Z34" i="23"/>
  <c r="AB34" i="23"/>
  <c r="AA34" i="23"/>
  <c r="AK34" i="23"/>
  <c r="AC34" i="23"/>
  <c r="AJ34" i="23"/>
  <c r="AI34" i="23"/>
  <c r="AU34" i="23"/>
  <c r="T34" i="23"/>
  <c r="AL34" i="23"/>
  <c r="AS34" i="23"/>
  <c r="AT34" i="23"/>
  <c r="Q34" i="23"/>
  <c r="J34" i="23"/>
  <c r="AR34" i="23"/>
  <c r="S34" i="23"/>
  <c r="H34" i="23"/>
  <c r="K34" i="23"/>
  <c r="R34" i="23"/>
  <c r="I34" i="23"/>
  <c r="K92" i="65" l="1"/>
  <c r="T92" i="65"/>
  <c r="AJ92" i="65"/>
  <c r="AB92" i="65"/>
  <c r="AL92" i="65"/>
  <c r="AC92" i="65"/>
  <c r="G101" i="66"/>
  <c r="C97" i="20"/>
  <c r="C92" i="65"/>
  <c r="AS92" i="65"/>
  <c r="C102" i="66"/>
  <c r="B93" i="65"/>
  <c r="B93" i="23"/>
  <c r="B98" i="20"/>
  <c r="D101" i="66"/>
  <c r="AK92" i="65"/>
  <c r="R92" i="65"/>
  <c r="H100" i="66"/>
  <c r="F30" i="20"/>
  <c r="I30" i="20" s="1"/>
  <c r="H30" i="20"/>
  <c r="E31" i="20"/>
  <c r="D40" i="20"/>
  <c r="A41" i="20"/>
  <c r="AJ35" i="23"/>
  <c r="AI35" i="23"/>
  <c r="AL35" i="23"/>
  <c r="AA35" i="23"/>
  <c r="Z35" i="23"/>
  <c r="AC35" i="23"/>
  <c r="AK35" i="23"/>
  <c r="AS35" i="23"/>
  <c r="R35" i="23"/>
  <c r="H35" i="23"/>
  <c r="J35" i="23"/>
  <c r="AB35" i="23"/>
  <c r="AR35" i="23"/>
  <c r="S35" i="23"/>
  <c r="T35" i="23"/>
  <c r="AT35" i="23"/>
  <c r="I35" i="23"/>
  <c r="AU35" i="23"/>
  <c r="Q35" i="23"/>
  <c r="K35" i="23"/>
  <c r="T93" i="65" l="1"/>
  <c r="J93" i="65"/>
  <c r="AB93" i="65"/>
  <c r="AS93" i="65"/>
  <c r="AK93" i="65"/>
  <c r="AC93" i="65"/>
  <c r="C103" i="66"/>
  <c r="B94" i="65"/>
  <c r="B99" i="20"/>
  <c r="B94" i="23"/>
  <c r="R93" i="65"/>
  <c r="AL93" i="65"/>
  <c r="AT93" i="65"/>
  <c r="D102" i="66"/>
  <c r="K93" i="65"/>
  <c r="S93" i="65"/>
  <c r="AJ93" i="65"/>
  <c r="AA93" i="65"/>
  <c r="AU93" i="65"/>
  <c r="I93" i="65"/>
  <c r="H101" i="66"/>
  <c r="G102" i="66"/>
  <c r="C98" i="20"/>
  <c r="C93" i="65"/>
  <c r="N30" i="20"/>
  <c r="AB94" i="65"/>
  <c r="AA94" i="65"/>
  <c r="K94" i="65"/>
  <c r="AL94" i="65"/>
  <c r="J94" i="65"/>
  <c r="AK94" i="65"/>
  <c r="I94" i="65"/>
  <c r="AJ94" i="65"/>
  <c r="T94" i="65"/>
  <c r="AU94" i="65"/>
  <c r="S94" i="65"/>
  <c r="AT94" i="65"/>
  <c r="R94" i="65"/>
  <c r="AC94" i="65"/>
  <c r="AS94" i="65"/>
  <c r="G31" i="20"/>
  <c r="F31" i="20"/>
  <c r="I31" i="20" s="1"/>
  <c r="D41" i="20"/>
  <c r="A42" i="20"/>
  <c r="Z36" i="23"/>
  <c r="AA36" i="23"/>
  <c r="AC36" i="23"/>
  <c r="AB36" i="23"/>
  <c r="AK36" i="23"/>
  <c r="AJ36" i="23"/>
  <c r="K36" i="23"/>
  <c r="AI36" i="23"/>
  <c r="AL36" i="23"/>
  <c r="AU36" i="23"/>
  <c r="R36" i="23"/>
  <c r="AR36" i="23"/>
  <c r="S36" i="23"/>
  <c r="I36" i="23"/>
  <c r="AS36" i="23"/>
  <c r="AT36" i="23"/>
  <c r="T36" i="23"/>
  <c r="Q36" i="23"/>
  <c r="J36" i="23"/>
  <c r="H36" i="23"/>
  <c r="H102" i="66" l="1"/>
  <c r="D103" i="66"/>
  <c r="C104" i="66"/>
  <c r="B95" i="23"/>
  <c r="B100" i="20"/>
  <c r="B95" i="65"/>
  <c r="T95" i="65" s="1"/>
  <c r="G103" i="66"/>
  <c r="C99" i="20"/>
  <c r="C94" i="65"/>
  <c r="H31" i="20"/>
  <c r="E32" i="20"/>
  <c r="G32" i="20" s="1"/>
  <c r="F32" i="20"/>
  <c r="I32" i="20" s="1"/>
  <c r="D42" i="20"/>
  <c r="A43" i="20"/>
  <c r="Z37" i="23"/>
  <c r="AI37" i="23"/>
  <c r="AC37" i="23"/>
  <c r="AL37" i="23"/>
  <c r="AR37" i="23"/>
  <c r="AT37" i="23"/>
  <c r="Q37" i="23"/>
  <c r="S37" i="23"/>
  <c r="I37" i="23"/>
  <c r="AJ37" i="23"/>
  <c r="AK37" i="23"/>
  <c r="AA37" i="23"/>
  <c r="AB37" i="23"/>
  <c r="AU37" i="23"/>
  <c r="R37" i="23"/>
  <c r="H37" i="23"/>
  <c r="K37" i="23"/>
  <c r="AS37" i="23"/>
  <c r="T37" i="23"/>
  <c r="J37" i="23"/>
  <c r="AL95" i="65" l="1"/>
  <c r="R95" i="65"/>
  <c r="I95" i="65"/>
  <c r="K95" i="65"/>
  <c r="C105" i="66"/>
  <c r="B96" i="65"/>
  <c r="B96" i="23"/>
  <c r="B101" i="20"/>
  <c r="AA95" i="65"/>
  <c r="AT95" i="65"/>
  <c r="AK95" i="65"/>
  <c r="J95" i="65"/>
  <c r="G104" i="66"/>
  <c r="C95" i="65"/>
  <c r="C100" i="20"/>
  <c r="D104" i="66"/>
  <c r="AJ95" i="65"/>
  <c r="S95" i="65"/>
  <c r="AU95" i="65"/>
  <c r="AC95" i="65"/>
  <c r="AS95" i="65"/>
  <c r="AB95" i="65"/>
  <c r="H103" i="66"/>
  <c r="N31" i="20"/>
  <c r="AK96" i="65"/>
  <c r="I96" i="65"/>
  <c r="H32" i="20"/>
  <c r="E33" i="20"/>
  <c r="D43" i="20"/>
  <c r="A44" i="20"/>
  <c r="Z38" i="23"/>
  <c r="AB38" i="23"/>
  <c r="AJ38" i="23"/>
  <c r="AK38" i="23"/>
  <c r="AI38" i="23"/>
  <c r="AL38" i="23"/>
  <c r="AA38" i="23"/>
  <c r="AU38" i="23"/>
  <c r="T38" i="23"/>
  <c r="AC38" i="23"/>
  <c r="AS38" i="23"/>
  <c r="AT38" i="23"/>
  <c r="Q38" i="23"/>
  <c r="J38" i="23"/>
  <c r="I38" i="23"/>
  <c r="AR38" i="23"/>
  <c r="S38" i="23"/>
  <c r="R38" i="23"/>
  <c r="H38" i="23"/>
  <c r="K38" i="23"/>
  <c r="AB96" i="65" l="1"/>
  <c r="AC96" i="65"/>
  <c r="J96" i="65"/>
  <c r="AS96" i="65"/>
  <c r="S96" i="65"/>
  <c r="AU96" i="65"/>
  <c r="AL96" i="65"/>
  <c r="R96" i="65"/>
  <c r="T96" i="65"/>
  <c r="K96" i="65"/>
  <c r="AJ96" i="65"/>
  <c r="AA96" i="65"/>
  <c r="AT96" i="65"/>
  <c r="H104" i="66"/>
  <c r="D105" i="66"/>
  <c r="C106" i="66"/>
  <c r="B97" i="23"/>
  <c r="B102" i="20"/>
  <c r="B97" i="65"/>
  <c r="J97" i="65" s="1"/>
  <c r="G105" i="66"/>
  <c r="C96" i="65"/>
  <c r="C101" i="20"/>
  <c r="N32" i="20"/>
  <c r="G33" i="20"/>
  <c r="F33" i="20"/>
  <c r="I33" i="20" s="1"/>
  <c r="D44" i="20"/>
  <c r="A45" i="20"/>
  <c r="AA39" i="23"/>
  <c r="Z39" i="23"/>
  <c r="AB39" i="23"/>
  <c r="AJ39" i="23"/>
  <c r="AL39" i="23"/>
  <c r="AS39" i="23"/>
  <c r="R39" i="23"/>
  <c r="H39" i="23"/>
  <c r="J39" i="23"/>
  <c r="AK39" i="23"/>
  <c r="AI39" i="23"/>
  <c r="T39" i="23"/>
  <c r="AC39" i="23"/>
  <c r="AT39" i="23"/>
  <c r="Q39" i="23"/>
  <c r="K39" i="23"/>
  <c r="AU39" i="23"/>
  <c r="S39" i="23"/>
  <c r="AR39" i="23"/>
  <c r="I39" i="23"/>
  <c r="AB97" i="65" l="1"/>
  <c r="AC97" i="65"/>
  <c r="AU97" i="65"/>
  <c r="AL97" i="65"/>
  <c r="R97" i="65"/>
  <c r="I97" i="65"/>
  <c r="T97" i="65"/>
  <c r="K97" i="65"/>
  <c r="AS97" i="65"/>
  <c r="C107" i="66"/>
  <c r="B98" i="23"/>
  <c r="B103" i="20"/>
  <c r="B98" i="65"/>
  <c r="T98" i="65" s="1"/>
  <c r="G106" i="66"/>
  <c r="C97" i="65"/>
  <c r="C102" i="20"/>
  <c r="D106" i="66"/>
  <c r="AJ97" i="65"/>
  <c r="AA97" i="65"/>
  <c r="AT97" i="65"/>
  <c r="AK97" i="65"/>
  <c r="S97" i="65"/>
  <c r="H105" i="66"/>
  <c r="AJ98" i="65"/>
  <c r="R98" i="65"/>
  <c r="AS98" i="65"/>
  <c r="AC98" i="65"/>
  <c r="AA98" i="65"/>
  <c r="K98" i="65"/>
  <c r="AL98" i="65"/>
  <c r="J98" i="65"/>
  <c r="AK98" i="65"/>
  <c r="H33" i="20"/>
  <c r="E34" i="20"/>
  <c r="G34" i="20" s="1"/>
  <c r="D45" i="20"/>
  <c r="A46" i="20"/>
  <c r="Z40" i="23"/>
  <c r="AA40" i="23"/>
  <c r="AC40" i="23"/>
  <c r="AI40" i="23"/>
  <c r="AB40" i="23"/>
  <c r="K40" i="23"/>
  <c r="AK40" i="23"/>
  <c r="AL40" i="23"/>
  <c r="AR40" i="23"/>
  <c r="S40" i="23"/>
  <c r="AJ40" i="23"/>
  <c r="AS40" i="23"/>
  <c r="T40" i="23"/>
  <c r="J40" i="23"/>
  <c r="R40" i="23"/>
  <c r="H40" i="23"/>
  <c r="AT40" i="23"/>
  <c r="AU40" i="23"/>
  <c r="Q40" i="23"/>
  <c r="I40" i="23"/>
  <c r="AT98" i="65" l="1"/>
  <c r="S98" i="65"/>
  <c r="I98" i="65"/>
  <c r="AU98" i="65"/>
  <c r="AB98" i="65"/>
  <c r="C108" i="66"/>
  <c r="B99" i="23"/>
  <c r="B104" i="20"/>
  <c r="B99" i="65"/>
  <c r="AC99" i="65" s="1"/>
  <c r="G107" i="66"/>
  <c r="C98" i="65"/>
  <c r="C103" i="20"/>
  <c r="H106" i="66"/>
  <c r="D107" i="66"/>
  <c r="N33" i="20"/>
  <c r="F34" i="20"/>
  <c r="I34" i="20" s="1"/>
  <c r="D46" i="20"/>
  <c r="A47" i="20"/>
  <c r="AA41" i="23"/>
  <c r="AI41" i="23"/>
  <c r="AC41" i="23"/>
  <c r="AJ41" i="23"/>
  <c r="AK41" i="23"/>
  <c r="AB41" i="23"/>
  <c r="AR41" i="23"/>
  <c r="AT41" i="23"/>
  <c r="Q41" i="23"/>
  <c r="S41" i="23"/>
  <c r="I41" i="23"/>
  <c r="Z41" i="23"/>
  <c r="AL41" i="23"/>
  <c r="AU41" i="23"/>
  <c r="R41" i="23"/>
  <c r="H41" i="23"/>
  <c r="J41" i="23"/>
  <c r="K41" i="23"/>
  <c r="AS41" i="23"/>
  <c r="T41" i="23"/>
  <c r="E35" i="20" l="1"/>
  <c r="G35" i="20" s="1"/>
  <c r="F35" i="20"/>
  <c r="I35" i="20" s="1"/>
  <c r="H34" i="20"/>
  <c r="AS99" i="65"/>
  <c r="S99" i="65"/>
  <c r="AU99" i="65"/>
  <c r="J99" i="65"/>
  <c r="AL99" i="65"/>
  <c r="AJ99" i="65"/>
  <c r="AA99" i="65"/>
  <c r="D108" i="66"/>
  <c r="K99" i="65"/>
  <c r="R99" i="65"/>
  <c r="I99" i="65"/>
  <c r="H107" i="66"/>
  <c r="T99" i="65"/>
  <c r="AB99" i="65"/>
  <c r="G108" i="66"/>
  <c r="C99" i="65"/>
  <c r="C104" i="20"/>
  <c r="AT99" i="65"/>
  <c r="AK99" i="65"/>
  <c r="C109" i="66"/>
  <c r="B100" i="65"/>
  <c r="AJ100" i="65" s="1"/>
  <c r="B100" i="23"/>
  <c r="B105" i="20"/>
  <c r="N34" i="20"/>
  <c r="H35" i="20"/>
  <c r="E36" i="20"/>
  <c r="G36" i="20" s="1"/>
  <c r="F36" i="20"/>
  <c r="I36" i="20" s="1"/>
  <c r="D47" i="20"/>
  <c r="A48" i="20"/>
  <c r="Z42" i="23"/>
  <c r="AB42" i="23"/>
  <c r="AA42" i="23"/>
  <c r="AC42" i="23"/>
  <c r="AK42" i="23"/>
  <c r="AU42" i="23"/>
  <c r="T42" i="23"/>
  <c r="AJ42" i="23"/>
  <c r="AI42" i="23"/>
  <c r="AL42" i="23"/>
  <c r="AR42" i="23"/>
  <c r="R42" i="23"/>
  <c r="S42" i="23"/>
  <c r="H42" i="23"/>
  <c r="I42" i="23"/>
  <c r="K42" i="23"/>
  <c r="AS42" i="23"/>
  <c r="Q42" i="23"/>
  <c r="J42" i="23"/>
  <c r="AT42" i="23"/>
  <c r="I100" i="65" l="1"/>
  <c r="C110" i="66"/>
  <c r="B101" i="65"/>
  <c r="B101" i="23"/>
  <c r="B106" i="20"/>
  <c r="AA100" i="65"/>
  <c r="AT100" i="65"/>
  <c r="AK100" i="65"/>
  <c r="R100" i="65"/>
  <c r="K100" i="65"/>
  <c r="S100" i="65"/>
  <c r="J100" i="65"/>
  <c r="AU100" i="65"/>
  <c r="AL100" i="65"/>
  <c r="H108" i="66"/>
  <c r="D109" i="66"/>
  <c r="AS100" i="65"/>
  <c r="AB100" i="65"/>
  <c r="T100" i="65"/>
  <c r="AC100" i="65"/>
  <c r="G109" i="66"/>
  <c r="C105" i="20"/>
  <c r="C100" i="65"/>
  <c r="N35" i="20"/>
  <c r="AU101" i="65"/>
  <c r="S101" i="65"/>
  <c r="AT101" i="65"/>
  <c r="R101" i="65"/>
  <c r="AS101" i="65"/>
  <c r="AC101" i="65"/>
  <c r="AB101" i="65"/>
  <c r="AA101" i="65"/>
  <c r="K101" i="65"/>
  <c r="AL101" i="65"/>
  <c r="J101" i="65"/>
  <c r="AK101" i="65"/>
  <c r="I101" i="65"/>
  <c r="T101" i="65"/>
  <c r="AJ101" i="65"/>
  <c r="H36" i="20"/>
  <c r="E37" i="20"/>
  <c r="D48" i="20"/>
  <c r="A49" i="20"/>
  <c r="Z43" i="23"/>
  <c r="AJ43" i="23"/>
  <c r="AB43" i="23"/>
  <c r="AL43" i="23"/>
  <c r="AI43" i="23"/>
  <c r="AK43" i="23"/>
  <c r="AS43" i="23"/>
  <c r="R43" i="23"/>
  <c r="H43" i="23"/>
  <c r="J43" i="23"/>
  <c r="AC43" i="23"/>
  <c r="AA43" i="23"/>
  <c r="AT43" i="23"/>
  <c r="Q43" i="23"/>
  <c r="AU43" i="23"/>
  <c r="AR43" i="23"/>
  <c r="S43" i="23"/>
  <c r="T43" i="23"/>
  <c r="I43" i="23"/>
  <c r="K43" i="23"/>
  <c r="D110" i="66" l="1"/>
  <c r="G110" i="66"/>
  <c r="C106" i="20"/>
  <c r="C101" i="65"/>
  <c r="H109" i="66"/>
  <c r="C111" i="66"/>
  <c r="B102" i="65"/>
  <c r="B102" i="23"/>
  <c r="B107" i="20"/>
  <c r="N36" i="20"/>
  <c r="AB102" i="65"/>
  <c r="AA102" i="65"/>
  <c r="K102" i="65"/>
  <c r="AL102" i="65"/>
  <c r="J102" i="65"/>
  <c r="AK102" i="65"/>
  <c r="I102" i="65"/>
  <c r="AJ102" i="65"/>
  <c r="T102" i="65"/>
  <c r="AU102" i="65"/>
  <c r="S102" i="65"/>
  <c r="AT102" i="65"/>
  <c r="R102" i="65"/>
  <c r="AS102" i="65"/>
  <c r="AC102" i="65"/>
  <c r="G37" i="20"/>
  <c r="F37" i="20"/>
  <c r="I37" i="20" s="1"/>
  <c r="A50" i="20"/>
  <c r="D49" i="20"/>
  <c r="Z44" i="23"/>
  <c r="AA44" i="23"/>
  <c r="AB44" i="23"/>
  <c r="AC44" i="23"/>
  <c r="AJ44" i="23"/>
  <c r="AI44" i="23"/>
  <c r="AL44" i="23"/>
  <c r="K44" i="23"/>
  <c r="AK44" i="23"/>
  <c r="AS44" i="23"/>
  <c r="T44" i="23"/>
  <c r="AT44" i="23"/>
  <c r="Q44" i="23"/>
  <c r="AU44" i="23"/>
  <c r="AR44" i="23"/>
  <c r="R44" i="23"/>
  <c r="S44" i="23"/>
  <c r="I44" i="23"/>
  <c r="J44" i="23"/>
  <c r="H44" i="23"/>
  <c r="H110" i="66" l="1"/>
  <c r="G111" i="66"/>
  <c r="C107" i="20"/>
  <c r="C102" i="65"/>
  <c r="C112" i="66"/>
  <c r="B103" i="23"/>
  <c r="B108" i="20"/>
  <c r="B103" i="65"/>
  <c r="T103" i="65" s="1"/>
  <c r="D111" i="66"/>
  <c r="I103" i="65"/>
  <c r="AJ103" i="65"/>
  <c r="AU103" i="65"/>
  <c r="S103" i="65"/>
  <c r="AT103" i="65"/>
  <c r="R103" i="65"/>
  <c r="AS103" i="65"/>
  <c r="AC103" i="65"/>
  <c r="AA103" i="65"/>
  <c r="K103" i="65"/>
  <c r="J103" i="65"/>
  <c r="AL103" i="65"/>
  <c r="H37" i="20"/>
  <c r="N37" i="20" s="1"/>
  <c r="E38" i="20"/>
  <c r="A51" i="20"/>
  <c r="D50" i="20"/>
  <c r="Z45" i="23"/>
  <c r="AA45" i="23"/>
  <c r="AI45" i="23"/>
  <c r="AC45" i="23"/>
  <c r="AJ45" i="23"/>
  <c r="AL45" i="23"/>
  <c r="AR45" i="23"/>
  <c r="AT45" i="23"/>
  <c r="Q45" i="23"/>
  <c r="S45" i="23"/>
  <c r="I45" i="23"/>
  <c r="AB45" i="23"/>
  <c r="AK45" i="23"/>
  <c r="AS45" i="23"/>
  <c r="T45" i="23"/>
  <c r="J45" i="23"/>
  <c r="AU45" i="23"/>
  <c r="R45" i="23"/>
  <c r="H45" i="23"/>
  <c r="K45" i="23"/>
  <c r="C113" i="66" l="1"/>
  <c r="B104" i="65"/>
  <c r="B104" i="23"/>
  <c r="B109" i="20"/>
  <c r="D112" i="66"/>
  <c r="AK103" i="65"/>
  <c r="G112" i="66"/>
  <c r="C103" i="65"/>
  <c r="C108" i="20"/>
  <c r="AB103" i="65"/>
  <c r="H111" i="66"/>
  <c r="AT104" i="65"/>
  <c r="R104" i="65"/>
  <c r="AS104" i="65"/>
  <c r="AC104" i="65"/>
  <c r="AB104" i="65"/>
  <c r="AA104" i="65"/>
  <c r="K104" i="65"/>
  <c r="AL104" i="65"/>
  <c r="J104" i="65"/>
  <c r="AK104" i="65"/>
  <c r="AJ104" i="65"/>
  <c r="T104" i="65"/>
  <c r="S104" i="65"/>
  <c r="AU104" i="65"/>
  <c r="G38" i="20"/>
  <c r="F38" i="20"/>
  <c r="I38" i="20" s="1"/>
  <c r="D51" i="20"/>
  <c r="A52" i="20"/>
  <c r="Z46" i="23"/>
  <c r="AB46" i="23"/>
  <c r="AI46" i="23"/>
  <c r="AK46" i="23"/>
  <c r="AA46" i="23"/>
  <c r="AU46" i="23"/>
  <c r="T46" i="23"/>
  <c r="AL46" i="23"/>
  <c r="AC46" i="23"/>
  <c r="AJ46" i="23"/>
  <c r="AR46" i="23"/>
  <c r="R46" i="23"/>
  <c r="S46" i="23"/>
  <c r="AT46" i="23"/>
  <c r="H46" i="23"/>
  <c r="J46" i="23"/>
  <c r="K46" i="23"/>
  <c r="AS46" i="23"/>
  <c r="Q46" i="23"/>
  <c r="I46" i="23"/>
  <c r="I104" i="65" l="1"/>
  <c r="G113" i="66"/>
  <c r="C104" i="65"/>
  <c r="C109" i="20"/>
  <c r="H112" i="66"/>
  <c r="D113" i="66"/>
  <c r="C114" i="66"/>
  <c r="B105" i="23"/>
  <c r="B110" i="20"/>
  <c r="B105" i="65"/>
  <c r="K105" i="65" s="1"/>
  <c r="R105" i="65"/>
  <c r="AS105" i="65"/>
  <c r="AC105" i="65"/>
  <c r="E39" i="20"/>
  <c r="G39" i="20" s="1"/>
  <c r="H38" i="20"/>
  <c r="F39" i="20"/>
  <c r="I39" i="20" s="1"/>
  <c r="H64" i="51"/>
  <c r="F64" i="51"/>
  <c r="J64" i="51"/>
  <c r="G64" i="51"/>
  <c r="I64" i="51"/>
  <c r="D52" i="20"/>
  <c r="A53" i="20"/>
  <c r="AA47" i="23"/>
  <c r="AJ47" i="23"/>
  <c r="AC47" i="23"/>
  <c r="AL47" i="23"/>
  <c r="AK47" i="23"/>
  <c r="AS47" i="23"/>
  <c r="R47" i="23"/>
  <c r="H47" i="23"/>
  <c r="J47" i="23"/>
  <c r="AB47" i="23"/>
  <c r="Z47" i="23"/>
  <c r="AI47" i="23"/>
  <c r="AU47" i="23"/>
  <c r="AR47" i="23"/>
  <c r="S47" i="23"/>
  <c r="I47" i="23"/>
  <c r="K47" i="23"/>
  <c r="Q47" i="23"/>
  <c r="AT47" i="23"/>
  <c r="T47" i="23"/>
  <c r="AJ105" i="65" l="1"/>
  <c r="I105" i="65"/>
  <c r="AT105" i="65"/>
  <c r="AK105" i="65"/>
  <c r="S105" i="65"/>
  <c r="J105" i="65"/>
  <c r="AU105" i="65"/>
  <c r="AL105" i="65"/>
  <c r="AB105" i="65"/>
  <c r="T105" i="65"/>
  <c r="AA105" i="65"/>
  <c r="D114" i="66"/>
  <c r="H113" i="66"/>
  <c r="C115" i="66"/>
  <c r="B106" i="23"/>
  <c r="B111" i="20"/>
  <c r="B106" i="65"/>
  <c r="AJ106" i="65" s="1"/>
  <c r="G114" i="66"/>
  <c r="C105" i="65"/>
  <c r="C110" i="20"/>
  <c r="N38" i="20"/>
  <c r="I106" i="65"/>
  <c r="AK106" i="65"/>
  <c r="H39" i="20"/>
  <c r="E40" i="20"/>
  <c r="D53" i="20"/>
  <c r="A54" i="20"/>
  <c r="Z48" i="23"/>
  <c r="AA48" i="23"/>
  <c r="AC48" i="23"/>
  <c r="AB48" i="23"/>
  <c r="AJ48" i="23"/>
  <c r="K48" i="23"/>
  <c r="AI48" i="23"/>
  <c r="AK48" i="23"/>
  <c r="AL48" i="23"/>
  <c r="AT48" i="23"/>
  <c r="Q48" i="23"/>
  <c r="AU48" i="23"/>
  <c r="R48" i="23"/>
  <c r="H48" i="23"/>
  <c r="AR48" i="23"/>
  <c r="S48" i="23"/>
  <c r="T48" i="23"/>
  <c r="J48" i="23"/>
  <c r="AS48" i="23"/>
  <c r="I48" i="23"/>
  <c r="R106" i="65" l="1"/>
  <c r="J106" i="65"/>
  <c r="AL106" i="65"/>
  <c r="K106" i="65"/>
  <c r="AS106" i="65"/>
  <c r="AA106" i="65"/>
  <c r="AT106" i="65"/>
  <c r="C116" i="66"/>
  <c r="B107" i="23"/>
  <c r="B112" i="20"/>
  <c r="B107" i="65"/>
  <c r="S106" i="65"/>
  <c r="AU106" i="65"/>
  <c r="G115" i="66"/>
  <c r="C106" i="65"/>
  <c r="C111" i="20"/>
  <c r="H114" i="66"/>
  <c r="AB106" i="65"/>
  <c r="T106" i="65"/>
  <c r="AC106" i="65"/>
  <c r="D115" i="66"/>
  <c r="N39" i="20"/>
  <c r="AC107" i="65"/>
  <c r="AB107" i="65"/>
  <c r="I107" i="65"/>
  <c r="R107" i="65"/>
  <c r="AT107" i="65"/>
  <c r="G40" i="20"/>
  <c r="F40" i="20"/>
  <c r="I40" i="20" s="1"/>
  <c r="A55" i="20"/>
  <c r="D54" i="20"/>
  <c r="AB49" i="23"/>
  <c r="AI49" i="23"/>
  <c r="AJ49" i="23"/>
  <c r="Z49" i="23"/>
  <c r="AC49" i="23"/>
  <c r="AL49" i="23"/>
  <c r="AK49" i="23"/>
  <c r="AR49" i="23"/>
  <c r="AT49" i="23"/>
  <c r="Q49" i="23"/>
  <c r="S49" i="23"/>
  <c r="I49" i="23"/>
  <c r="AA49" i="23"/>
  <c r="AS49" i="23"/>
  <c r="T49" i="23"/>
  <c r="AU49" i="23"/>
  <c r="H49" i="23"/>
  <c r="K49" i="23"/>
  <c r="J49" i="23"/>
  <c r="R49" i="23"/>
  <c r="AK107" i="65" l="1"/>
  <c r="AS107" i="65"/>
  <c r="T107" i="65"/>
  <c r="K107" i="65"/>
  <c r="J107" i="65"/>
  <c r="AU107" i="65"/>
  <c r="AJ107" i="65"/>
  <c r="AA107" i="65"/>
  <c r="S107" i="65"/>
  <c r="AL107" i="65"/>
  <c r="D116" i="66"/>
  <c r="G116" i="66"/>
  <c r="C107" i="65"/>
  <c r="C112" i="20"/>
  <c r="C117" i="66"/>
  <c r="B108" i="65"/>
  <c r="B108" i="23"/>
  <c r="B113" i="20"/>
  <c r="H115" i="66"/>
  <c r="H40" i="20"/>
  <c r="N40" i="20" s="1"/>
  <c r="E41" i="20"/>
  <c r="G41" i="20" s="1"/>
  <c r="D55" i="20"/>
  <c r="A56" i="20"/>
  <c r="Z50" i="23"/>
  <c r="AB50" i="23"/>
  <c r="AA50" i="23"/>
  <c r="AK50" i="23"/>
  <c r="AU50" i="23"/>
  <c r="T50" i="23"/>
  <c r="AI50" i="23"/>
  <c r="AS50" i="23"/>
  <c r="AT50" i="23"/>
  <c r="Q50" i="23"/>
  <c r="J50" i="23"/>
  <c r="AC50" i="23"/>
  <c r="AJ50" i="23"/>
  <c r="R50" i="23"/>
  <c r="I50" i="23"/>
  <c r="AL50" i="23"/>
  <c r="AR50" i="23"/>
  <c r="K50" i="23"/>
  <c r="S50" i="23"/>
  <c r="H50" i="23"/>
  <c r="R108" i="65" l="1"/>
  <c r="I108" i="65"/>
  <c r="C118" i="66"/>
  <c r="B109" i="65"/>
  <c r="AU109" i="65" s="1"/>
  <c r="B109" i="23"/>
  <c r="B114" i="20"/>
  <c r="K108" i="65"/>
  <c r="AT108" i="65"/>
  <c r="AK108" i="65"/>
  <c r="AA108" i="65"/>
  <c r="S108" i="65"/>
  <c r="J108" i="65"/>
  <c r="H116" i="66"/>
  <c r="AU108" i="65"/>
  <c r="AL108" i="65"/>
  <c r="AB108" i="65"/>
  <c r="T108" i="65"/>
  <c r="G117" i="66"/>
  <c r="C113" i="20"/>
  <c r="C108" i="65"/>
  <c r="AC108" i="65"/>
  <c r="AJ108" i="65"/>
  <c r="AS108" i="65"/>
  <c r="D117" i="66"/>
  <c r="AK109" i="65"/>
  <c r="F41" i="20"/>
  <c r="I41" i="20" s="1"/>
  <c r="E42" i="20"/>
  <c r="A57" i="20"/>
  <c r="D56" i="20"/>
  <c r="AJ51" i="23"/>
  <c r="AA51" i="23"/>
  <c r="AB51" i="23"/>
  <c r="AI51" i="23"/>
  <c r="AL51" i="23"/>
  <c r="AS51" i="23"/>
  <c r="R51" i="23"/>
  <c r="H51" i="23"/>
  <c r="J51" i="23"/>
  <c r="AK51" i="23"/>
  <c r="AC51" i="23"/>
  <c r="Z51" i="23"/>
  <c r="AR51" i="23"/>
  <c r="S51" i="23"/>
  <c r="T51" i="23"/>
  <c r="I51" i="23"/>
  <c r="AT51" i="23"/>
  <c r="K51" i="23"/>
  <c r="AU51" i="23"/>
  <c r="Q51" i="23"/>
  <c r="H41" i="20" l="1"/>
  <c r="J109" i="65"/>
  <c r="AB109" i="65"/>
  <c r="AC109" i="65"/>
  <c r="AS109" i="65"/>
  <c r="AL109" i="65"/>
  <c r="R109" i="65"/>
  <c r="AJ109" i="65"/>
  <c r="K109" i="65"/>
  <c r="AA109" i="65"/>
  <c r="AT109" i="65"/>
  <c r="T109" i="65"/>
  <c r="S109" i="65"/>
  <c r="I109" i="65"/>
  <c r="H117" i="66"/>
  <c r="G118" i="66"/>
  <c r="C114" i="20"/>
  <c r="C109" i="65"/>
  <c r="D118" i="66"/>
  <c r="C119" i="66"/>
  <c r="B110" i="65"/>
  <c r="B115" i="20"/>
  <c r="B110" i="23"/>
  <c r="N41" i="20"/>
  <c r="T110" i="65"/>
  <c r="AU110" i="65"/>
  <c r="AS110" i="65"/>
  <c r="G42" i="20"/>
  <c r="F42" i="20"/>
  <c r="I42" i="20" s="1"/>
  <c r="A58" i="20"/>
  <c r="D57" i="20"/>
  <c r="Z52" i="23"/>
  <c r="AA52" i="23"/>
  <c r="AC52" i="23"/>
  <c r="AI52" i="23"/>
  <c r="AK52" i="23"/>
  <c r="AL52" i="23"/>
  <c r="K52" i="23"/>
  <c r="AJ52" i="23"/>
  <c r="AB52" i="23"/>
  <c r="AU52" i="23"/>
  <c r="R52" i="23"/>
  <c r="AR52" i="23"/>
  <c r="S52" i="23"/>
  <c r="I52" i="23"/>
  <c r="Q52" i="23"/>
  <c r="AS52" i="23"/>
  <c r="AT52" i="23"/>
  <c r="H52" i="23"/>
  <c r="T52" i="23"/>
  <c r="J52" i="23"/>
  <c r="K110" i="65" l="1"/>
  <c r="AA110" i="65"/>
  <c r="AJ110" i="65"/>
  <c r="AB110" i="65"/>
  <c r="R110" i="65"/>
  <c r="AK110" i="65"/>
  <c r="J110" i="65"/>
  <c r="AC110" i="65"/>
  <c r="AT110" i="65"/>
  <c r="S110" i="65"/>
  <c r="AL110" i="65"/>
  <c r="D119" i="66"/>
  <c r="G119" i="66"/>
  <c r="C115" i="20"/>
  <c r="C110" i="65"/>
  <c r="I110" i="65"/>
  <c r="C120" i="66"/>
  <c r="B111" i="23"/>
  <c r="B116" i="20"/>
  <c r="B111" i="65"/>
  <c r="T111" i="65" s="1"/>
  <c r="H118" i="66"/>
  <c r="AK111" i="65"/>
  <c r="I111" i="65"/>
  <c r="AJ111" i="65"/>
  <c r="AT111" i="65"/>
  <c r="R111" i="65"/>
  <c r="AS111" i="65"/>
  <c r="AC111" i="65"/>
  <c r="AA111" i="65"/>
  <c r="K111" i="65"/>
  <c r="AL111" i="65"/>
  <c r="J111" i="65"/>
  <c r="H42" i="20"/>
  <c r="E43" i="20"/>
  <c r="G43" i="20" s="1"/>
  <c r="D58" i="20"/>
  <c r="A59" i="20"/>
  <c r="Z53" i="23"/>
  <c r="AI53" i="23"/>
  <c r="AC53" i="23"/>
  <c r="AB53" i="23"/>
  <c r="AJ53" i="23"/>
  <c r="AR53" i="23"/>
  <c r="AT53" i="23"/>
  <c r="Q53" i="23"/>
  <c r="S53" i="23"/>
  <c r="I53" i="23"/>
  <c r="AA53" i="23"/>
  <c r="AK53" i="23"/>
  <c r="AU53" i="23"/>
  <c r="R53" i="23"/>
  <c r="H53" i="23"/>
  <c r="K53" i="23"/>
  <c r="AS53" i="23"/>
  <c r="T53" i="23"/>
  <c r="J53" i="23"/>
  <c r="AL53" i="23"/>
  <c r="S111" i="65" l="1"/>
  <c r="AU111" i="65"/>
  <c r="C121" i="66"/>
  <c r="B112" i="65"/>
  <c r="AT112" i="65" s="1"/>
  <c r="B112" i="23"/>
  <c r="B117" i="20"/>
  <c r="H119" i="66"/>
  <c r="G120" i="66"/>
  <c r="C111" i="65"/>
  <c r="C116" i="20"/>
  <c r="AB111" i="65"/>
  <c r="D120" i="66"/>
  <c r="N42" i="20"/>
  <c r="R112" i="65"/>
  <c r="AS112" i="65"/>
  <c r="AC112" i="65"/>
  <c r="AB112" i="65"/>
  <c r="K112" i="65"/>
  <c r="AL112" i="65"/>
  <c r="J112" i="65"/>
  <c r="AK112" i="65"/>
  <c r="I112" i="65"/>
  <c r="T112" i="65"/>
  <c r="S112" i="65"/>
  <c r="AU112" i="65"/>
  <c r="F43" i="20"/>
  <c r="E44" i="20"/>
  <c r="G44" i="20" s="1"/>
  <c r="A60" i="20"/>
  <c r="D59" i="20"/>
  <c r="Z54" i="23"/>
  <c r="AB54" i="23"/>
  <c r="AA54" i="23"/>
  <c r="AJ54" i="23"/>
  <c r="AK54" i="23"/>
  <c r="AL54" i="23"/>
  <c r="AC54" i="23"/>
  <c r="AI54" i="23"/>
  <c r="AU54" i="23"/>
  <c r="T54" i="23"/>
  <c r="AS54" i="23"/>
  <c r="AT54" i="23"/>
  <c r="Q54" i="23"/>
  <c r="AR54" i="23"/>
  <c r="S54" i="23"/>
  <c r="H54" i="23"/>
  <c r="K54" i="23"/>
  <c r="R54" i="23"/>
  <c r="J54" i="23"/>
  <c r="I54" i="23"/>
  <c r="F44" i="20" l="1"/>
  <c r="H43" i="20"/>
  <c r="I43" i="20"/>
  <c r="AJ112" i="65"/>
  <c r="AA112" i="65"/>
  <c r="H120" i="66"/>
  <c r="D121" i="66"/>
  <c r="G121" i="66"/>
  <c r="C112" i="65"/>
  <c r="C117" i="20"/>
  <c r="C122" i="66"/>
  <c r="B113" i="23"/>
  <c r="B118" i="20"/>
  <c r="B113" i="65"/>
  <c r="K113" i="65" s="1"/>
  <c r="N43" i="20"/>
  <c r="AA113" i="65"/>
  <c r="AJ113" i="65"/>
  <c r="R113" i="65"/>
  <c r="AC113" i="65"/>
  <c r="A61" i="20"/>
  <c r="D60" i="20"/>
  <c r="E45" i="20"/>
  <c r="G45" i="20" s="1"/>
  <c r="AA55" i="23"/>
  <c r="AB55" i="23"/>
  <c r="AJ55" i="23"/>
  <c r="AL55" i="23"/>
  <c r="Z55" i="23"/>
  <c r="AC55" i="23"/>
  <c r="AS55" i="23"/>
  <c r="R55" i="23"/>
  <c r="H55" i="23"/>
  <c r="J55" i="23"/>
  <c r="AK55" i="23"/>
  <c r="AI55" i="23"/>
  <c r="T55" i="23"/>
  <c r="AT55" i="23"/>
  <c r="Q55" i="23"/>
  <c r="AU55" i="23"/>
  <c r="AR55" i="23"/>
  <c r="S55" i="23"/>
  <c r="K55" i="23"/>
  <c r="I55" i="23"/>
  <c r="H44" i="20" l="1"/>
  <c r="I44" i="20"/>
  <c r="AS113" i="65"/>
  <c r="I113" i="65"/>
  <c r="AT113" i="65"/>
  <c r="AK113" i="65"/>
  <c r="S113" i="65"/>
  <c r="J113" i="65"/>
  <c r="AU113" i="65"/>
  <c r="AL113" i="65"/>
  <c r="AB113" i="65"/>
  <c r="T113" i="65"/>
  <c r="G122" i="66"/>
  <c r="C113" i="65"/>
  <c r="C118" i="20"/>
  <c r="D122" i="66"/>
  <c r="C123" i="66"/>
  <c r="B114" i="23"/>
  <c r="B119" i="20"/>
  <c r="B114" i="65"/>
  <c r="AV12" i="65" s="1"/>
  <c r="H121" i="66"/>
  <c r="K114" i="65"/>
  <c r="K12" i="65" s="1"/>
  <c r="AL114" i="65"/>
  <c r="AL12" i="65" s="1"/>
  <c r="F45" i="20"/>
  <c r="D61" i="20"/>
  <c r="A62" i="20"/>
  <c r="Z56" i="23"/>
  <c r="AA56" i="23"/>
  <c r="AC56" i="23"/>
  <c r="AI56" i="23"/>
  <c r="AJ56" i="23"/>
  <c r="AK56" i="23"/>
  <c r="K56" i="23"/>
  <c r="AL56" i="23"/>
  <c r="AB56" i="23"/>
  <c r="AR56" i="23"/>
  <c r="S56" i="23"/>
  <c r="AS56" i="23"/>
  <c r="T56" i="23"/>
  <c r="J56" i="23"/>
  <c r="AT56" i="23"/>
  <c r="I56" i="23"/>
  <c r="R56" i="23"/>
  <c r="AU56" i="23"/>
  <c r="Q56" i="23"/>
  <c r="H56" i="23"/>
  <c r="H45" i="20" l="1"/>
  <c r="I45" i="20"/>
  <c r="N44" i="20"/>
  <c r="AA114" i="65"/>
  <c r="AA12" i="65" s="1"/>
  <c r="AM12" i="65"/>
  <c r="R114" i="65"/>
  <c r="R12" i="65" s="1"/>
  <c r="AD12" i="65"/>
  <c r="S8" i="65" s="1"/>
  <c r="AT114" i="65"/>
  <c r="AT12" i="65" s="1"/>
  <c r="S114" i="65"/>
  <c r="S12" i="65" s="1"/>
  <c r="I114" i="65"/>
  <c r="I12" i="65" s="1"/>
  <c r="L12" i="65"/>
  <c r="O8" i="65" s="1"/>
  <c r="AU114" i="65"/>
  <c r="AU12" i="65" s="1"/>
  <c r="U12" i="65"/>
  <c r="AB114" i="65"/>
  <c r="AB12" i="65" s="1"/>
  <c r="T114" i="65"/>
  <c r="T12" i="65" s="1"/>
  <c r="AK114" i="65"/>
  <c r="AK12" i="65" s="1"/>
  <c r="AC114" i="65"/>
  <c r="AC12" i="65" s="1"/>
  <c r="AJ114" i="65"/>
  <c r="AJ12" i="65" s="1"/>
  <c r="J114" i="65"/>
  <c r="J12" i="65" s="1"/>
  <c r="AS114" i="65"/>
  <c r="AS12" i="65" s="1"/>
  <c r="C124" i="66"/>
  <c r="H122" i="66"/>
  <c r="D123" i="66"/>
  <c r="G123" i="66"/>
  <c r="C114" i="65"/>
  <c r="C119" i="20"/>
  <c r="W8" i="65"/>
  <c r="E46" i="20"/>
  <c r="G46" i="20" s="1"/>
  <c r="A63" i="20"/>
  <c r="D62" i="20"/>
  <c r="Z57" i="23"/>
  <c r="AI57" i="23"/>
  <c r="AB57" i="23"/>
  <c r="AK57" i="23"/>
  <c r="AA57" i="23"/>
  <c r="AR57" i="23"/>
  <c r="AT57" i="23"/>
  <c r="Q57" i="23"/>
  <c r="S57" i="23"/>
  <c r="I57" i="23"/>
  <c r="AC57" i="23"/>
  <c r="AJ57" i="23"/>
  <c r="AL57" i="23"/>
  <c r="AU57" i="23"/>
  <c r="R57" i="23"/>
  <c r="AS57" i="23"/>
  <c r="T57" i="23"/>
  <c r="H57" i="23"/>
  <c r="K57" i="23"/>
  <c r="J57" i="23"/>
  <c r="N45" i="20" l="1"/>
  <c r="Q8" i="65"/>
  <c r="U8" i="65"/>
  <c r="G124" i="66"/>
  <c r="D124" i="66"/>
  <c r="H123" i="66"/>
  <c r="C125" i="66"/>
  <c r="F46" i="20"/>
  <c r="D63" i="20"/>
  <c r="A64" i="20"/>
  <c r="Z58" i="23"/>
  <c r="AB58" i="23"/>
  <c r="AC58" i="23"/>
  <c r="AK58" i="23"/>
  <c r="AA58" i="23"/>
  <c r="AL58" i="23"/>
  <c r="AU58" i="23"/>
  <c r="T58" i="23"/>
  <c r="AJ58" i="23"/>
  <c r="AI58" i="23"/>
  <c r="AR58" i="23"/>
  <c r="R58" i="23"/>
  <c r="S58" i="23"/>
  <c r="H58" i="23"/>
  <c r="I58" i="23"/>
  <c r="K58" i="23"/>
  <c r="AS58" i="23"/>
  <c r="AT58" i="23"/>
  <c r="Q58" i="23"/>
  <c r="J58" i="23"/>
  <c r="H46" i="20" l="1"/>
  <c r="I46" i="20"/>
  <c r="C126" i="66"/>
  <c r="H124" i="66"/>
  <c r="D125" i="66"/>
  <c r="G125" i="66"/>
  <c r="E47" i="20"/>
  <c r="G47" i="20" s="1"/>
  <c r="A65" i="20"/>
  <c r="D64" i="20"/>
  <c r="AJ59" i="23"/>
  <c r="AA59" i="23"/>
  <c r="AL59" i="23"/>
  <c r="AB59" i="23"/>
  <c r="AI59" i="23"/>
  <c r="AS59" i="23"/>
  <c r="R59" i="23"/>
  <c r="H59" i="23"/>
  <c r="J59" i="23"/>
  <c r="AK59" i="23"/>
  <c r="AC59" i="23"/>
  <c r="AT59" i="23"/>
  <c r="Q59" i="23"/>
  <c r="AU59" i="23"/>
  <c r="Z59" i="23"/>
  <c r="I59" i="23"/>
  <c r="AR59" i="23"/>
  <c r="S59" i="23"/>
  <c r="T59" i="23"/>
  <c r="K59" i="23"/>
  <c r="N46" i="20" l="1"/>
  <c r="G126" i="66"/>
  <c r="D126" i="66"/>
  <c r="H125" i="66"/>
  <c r="C127" i="66"/>
  <c r="F47" i="20"/>
  <c r="A66" i="20"/>
  <c r="D65" i="20"/>
  <c r="Z60" i="23"/>
  <c r="AA60" i="23"/>
  <c r="AB60" i="23"/>
  <c r="AC60" i="23"/>
  <c r="AJ60" i="23"/>
  <c r="AL60" i="23"/>
  <c r="K60" i="23"/>
  <c r="AI60" i="23"/>
  <c r="AK60" i="23"/>
  <c r="AS60" i="23"/>
  <c r="T60" i="23"/>
  <c r="AT60" i="23"/>
  <c r="Q60" i="23"/>
  <c r="J60" i="23"/>
  <c r="AU60" i="23"/>
  <c r="AR60" i="23"/>
  <c r="R60" i="23"/>
  <c r="S60" i="23"/>
  <c r="H60" i="23"/>
  <c r="I60" i="23"/>
  <c r="H47" i="20" l="1"/>
  <c r="I47" i="20"/>
  <c r="C128" i="66"/>
  <c r="H126" i="66"/>
  <c r="D127" i="66"/>
  <c r="G127" i="66"/>
  <c r="E48" i="20"/>
  <c r="G48" i="20" s="1"/>
  <c r="D66" i="20"/>
  <c r="A67" i="20"/>
  <c r="Z61" i="23"/>
  <c r="AA61" i="23"/>
  <c r="AI61" i="23"/>
  <c r="AR61" i="23"/>
  <c r="AT61" i="23"/>
  <c r="Q61" i="23"/>
  <c r="S61" i="23"/>
  <c r="I61" i="23"/>
  <c r="AB61" i="23"/>
  <c r="AL61" i="23"/>
  <c r="AC61" i="23"/>
  <c r="AJ61" i="23"/>
  <c r="AK61" i="23"/>
  <c r="AS61" i="23"/>
  <c r="T61" i="23"/>
  <c r="J61" i="23"/>
  <c r="R61" i="23"/>
  <c r="H61" i="23"/>
  <c r="K61" i="23"/>
  <c r="AU61" i="23"/>
  <c r="N47" i="20" l="1"/>
  <c r="G128" i="66"/>
  <c r="D128" i="66"/>
  <c r="H127" i="66"/>
  <c r="C129" i="66"/>
  <c r="F48" i="20"/>
  <c r="D67" i="20"/>
  <c r="A68" i="20"/>
  <c r="Z62" i="23"/>
  <c r="AB62" i="23"/>
  <c r="AI62" i="23"/>
  <c r="AK62" i="23"/>
  <c r="AC62" i="23"/>
  <c r="AJ62" i="23"/>
  <c r="AU62" i="23"/>
  <c r="T62" i="23"/>
  <c r="AA62" i="23"/>
  <c r="AL62" i="23"/>
  <c r="AR62" i="23"/>
  <c r="R62" i="23"/>
  <c r="S62" i="23"/>
  <c r="AT62" i="23"/>
  <c r="H62" i="23"/>
  <c r="J62" i="23"/>
  <c r="K62" i="23"/>
  <c r="I62" i="23"/>
  <c r="AS62" i="23"/>
  <c r="Q62" i="23"/>
  <c r="H48" i="20" l="1"/>
  <c r="I48" i="20"/>
  <c r="C130" i="66"/>
  <c r="H128" i="66"/>
  <c r="D129" i="66"/>
  <c r="G129" i="66"/>
  <c r="E49" i="20"/>
  <c r="G49" i="20" s="1"/>
  <c r="D68" i="20"/>
  <c r="A69" i="20"/>
  <c r="AJ63" i="23"/>
  <c r="AC63" i="23"/>
  <c r="AL63" i="23"/>
  <c r="AK63" i="23"/>
  <c r="AI63" i="23"/>
  <c r="AS63" i="23"/>
  <c r="R63" i="23"/>
  <c r="H63" i="23"/>
  <c r="J63" i="23"/>
  <c r="AB63" i="23"/>
  <c r="Z63" i="23"/>
  <c r="AA63" i="23"/>
  <c r="AU63" i="23"/>
  <c r="AR63" i="23"/>
  <c r="S63" i="23"/>
  <c r="I63" i="23"/>
  <c r="K63" i="23"/>
  <c r="Q63" i="23"/>
  <c r="T63" i="23"/>
  <c r="AT63" i="23"/>
  <c r="N48" i="20" l="1"/>
  <c r="G130" i="66"/>
  <c r="D130" i="66"/>
  <c r="H129" i="66"/>
  <c r="C131" i="66"/>
  <c r="F49" i="20"/>
  <c r="D69" i="20"/>
  <c r="A70" i="20"/>
  <c r="Z64" i="23"/>
  <c r="AA64" i="23"/>
  <c r="AC64" i="23"/>
  <c r="AB64" i="23"/>
  <c r="AJ64" i="23"/>
  <c r="AK64" i="23"/>
  <c r="K64" i="23"/>
  <c r="AL64" i="23"/>
  <c r="AI64" i="23"/>
  <c r="AT64" i="23"/>
  <c r="Q64" i="23"/>
  <c r="AU64" i="23"/>
  <c r="R64" i="23"/>
  <c r="H64" i="23"/>
  <c r="AR64" i="23"/>
  <c r="AS64" i="23"/>
  <c r="S64" i="23"/>
  <c r="T64" i="23"/>
  <c r="I64" i="23"/>
  <c r="J64" i="23"/>
  <c r="H49" i="20" l="1"/>
  <c r="I49" i="20"/>
  <c r="C132" i="66"/>
  <c r="H130" i="66"/>
  <c r="D131" i="66"/>
  <c r="G131" i="66"/>
  <c r="N49" i="20"/>
  <c r="E50" i="20"/>
  <c r="G50" i="20" s="1"/>
  <c r="A71" i="20"/>
  <c r="D70" i="20"/>
  <c r="AB65" i="23"/>
  <c r="AI65" i="23"/>
  <c r="AJ65" i="23"/>
  <c r="AL65" i="23"/>
  <c r="AC65" i="23"/>
  <c r="AR65" i="23"/>
  <c r="AT65" i="23"/>
  <c r="Q65" i="23"/>
  <c r="S65" i="23"/>
  <c r="I65" i="23"/>
  <c r="Z65" i="23"/>
  <c r="AA65" i="23"/>
  <c r="AK65" i="23"/>
  <c r="AS65" i="23"/>
  <c r="T65" i="23"/>
  <c r="AU65" i="23"/>
  <c r="R65" i="23"/>
  <c r="H65" i="23"/>
  <c r="K65" i="23"/>
  <c r="J65" i="23"/>
  <c r="G132" i="66" l="1"/>
  <c r="D132" i="66"/>
  <c r="H131" i="66"/>
  <c r="C133" i="66"/>
  <c r="F50" i="20"/>
  <c r="A72" i="20"/>
  <c r="D71" i="20"/>
  <c r="Z66" i="23"/>
  <c r="AB66" i="23"/>
  <c r="AA66" i="23"/>
  <c r="AK66" i="23"/>
  <c r="AI66" i="23"/>
  <c r="AL66" i="23"/>
  <c r="AU66" i="23"/>
  <c r="T66" i="23"/>
  <c r="AC66" i="23"/>
  <c r="AJ66" i="23"/>
  <c r="AS66" i="23"/>
  <c r="AT66" i="23"/>
  <c r="Q66" i="23"/>
  <c r="J66" i="23"/>
  <c r="AR66" i="23"/>
  <c r="S66" i="23"/>
  <c r="I66" i="23"/>
  <c r="R66" i="23"/>
  <c r="H66" i="23"/>
  <c r="K66" i="23"/>
  <c r="H50" i="20" l="1"/>
  <c r="I50" i="20"/>
  <c r="C134" i="66"/>
  <c r="H132" i="66"/>
  <c r="D133" i="66"/>
  <c r="G133" i="66"/>
  <c r="N50" i="20"/>
  <c r="E51" i="20"/>
  <c r="G51" i="20" s="1"/>
  <c r="A73" i="20"/>
  <c r="D72" i="20"/>
  <c r="AJ67" i="23"/>
  <c r="Z67" i="23"/>
  <c r="AA67" i="23"/>
  <c r="AI67" i="23"/>
  <c r="AL67" i="23"/>
  <c r="AB67" i="23"/>
  <c r="AS67" i="23"/>
  <c r="R67" i="23"/>
  <c r="H67" i="23"/>
  <c r="J67" i="23"/>
  <c r="AC67" i="23"/>
  <c r="AK67" i="23"/>
  <c r="AR67" i="23"/>
  <c r="S67" i="23"/>
  <c r="T67" i="23"/>
  <c r="AT67" i="23"/>
  <c r="K67" i="23"/>
  <c r="AU67" i="23"/>
  <c r="Q67" i="23"/>
  <c r="I67" i="23"/>
  <c r="D134" i="66" l="1"/>
  <c r="G134" i="66"/>
  <c r="H133" i="66"/>
  <c r="C135" i="66"/>
  <c r="F51" i="20"/>
  <c r="D73" i="20"/>
  <c r="A74" i="20"/>
  <c r="Z68" i="23"/>
  <c r="AA68" i="23"/>
  <c r="AC68" i="23"/>
  <c r="AB68" i="23"/>
  <c r="AK68" i="23"/>
  <c r="K68" i="23"/>
  <c r="AJ68" i="23"/>
  <c r="AL68" i="23"/>
  <c r="AI68" i="23"/>
  <c r="AU68" i="23"/>
  <c r="R68" i="23"/>
  <c r="AR68" i="23"/>
  <c r="S68" i="23"/>
  <c r="I68" i="23"/>
  <c r="H68" i="23"/>
  <c r="J68" i="23"/>
  <c r="Q68" i="23"/>
  <c r="AS68" i="23"/>
  <c r="AT68" i="23"/>
  <c r="T68" i="23"/>
  <c r="H51" i="20" l="1"/>
  <c r="I51" i="20"/>
  <c r="C136" i="66"/>
  <c r="D135" i="66"/>
  <c r="H134" i="66"/>
  <c r="G135" i="66"/>
  <c r="N51" i="20"/>
  <c r="E52" i="20"/>
  <c r="G52" i="20" s="1"/>
  <c r="A75" i="20"/>
  <c r="D74" i="20"/>
  <c r="Z69" i="23"/>
  <c r="AI69" i="23"/>
  <c r="AC69" i="23"/>
  <c r="AA69" i="23"/>
  <c r="AJ69" i="23"/>
  <c r="AR69" i="23"/>
  <c r="AT69" i="23"/>
  <c r="Q69" i="23"/>
  <c r="S69" i="23"/>
  <c r="I69" i="23"/>
  <c r="AK69" i="23"/>
  <c r="AB69" i="23"/>
  <c r="AL69" i="23"/>
  <c r="AU69" i="23"/>
  <c r="R69" i="23"/>
  <c r="H69" i="23"/>
  <c r="K69" i="23"/>
  <c r="T69" i="23"/>
  <c r="J69" i="23"/>
  <c r="AS69" i="23"/>
  <c r="G136" i="66" l="1"/>
  <c r="H135" i="66"/>
  <c r="D136" i="66"/>
  <c r="C137" i="66"/>
  <c r="F52" i="20"/>
  <c r="A76" i="20"/>
  <c r="D75" i="20"/>
  <c r="Z70" i="23"/>
  <c r="AB70" i="23"/>
  <c r="AJ70" i="23"/>
  <c r="AK70" i="23"/>
  <c r="AC70" i="23"/>
  <c r="AL70" i="23"/>
  <c r="AA70" i="23"/>
  <c r="AU70" i="23"/>
  <c r="T70" i="23"/>
  <c r="AS70" i="23"/>
  <c r="AT70" i="23"/>
  <c r="Q70" i="23"/>
  <c r="AI70" i="23"/>
  <c r="AR70" i="23"/>
  <c r="S70" i="23"/>
  <c r="H70" i="23"/>
  <c r="K70" i="23"/>
  <c r="I70" i="23"/>
  <c r="J70" i="23"/>
  <c r="R70" i="23"/>
  <c r="H52" i="20" l="1"/>
  <c r="N52" i="20" s="1"/>
  <c r="I52" i="20"/>
  <c r="C138" i="66"/>
  <c r="D137" i="66"/>
  <c r="H136" i="66"/>
  <c r="G137" i="66"/>
  <c r="E53" i="20"/>
  <c r="G53" i="20" s="1"/>
  <c r="A77" i="20"/>
  <c r="D76" i="20"/>
  <c r="Z71" i="23"/>
  <c r="AA71" i="23"/>
  <c r="AB71" i="23"/>
  <c r="AJ71" i="23"/>
  <c r="AL71" i="23"/>
  <c r="AI71" i="23"/>
  <c r="AK71" i="23"/>
  <c r="AS71" i="23"/>
  <c r="R71" i="23"/>
  <c r="H71" i="23"/>
  <c r="J71" i="23"/>
  <c r="AC71" i="23"/>
  <c r="T71" i="23"/>
  <c r="AT71" i="23"/>
  <c r="Q71" i="23"/>
  <c r="I71" i="23"/>
  <c r="AU71" i="23"/>
  <c r="AR71" i="23"/>
  <c r="K71" i="23"/>
  <c r="S71" i="23"/>
  <c r="H137" i="66" l="1"/>
  <c r="D138" i="66"/>
  <c r="G138" i="66"/>
  <c r="C139" i="66"/>
  <c r="F53" i="20"/>
  <c r="A78" i="20"/>
  <c r="D77" i="20"/>
  <c r="Z72" i="23"/>
  <c r="AA72" i="23"/>
  <c r="AC72" i="23"/>
  <c r="AB72" i="23"/>
  <c r="AI72" i="23"/>
  <c r="K72" i="23"/>
  <c r="AJ72" i="23"/>
  <c r="AK72" i="23"/>
  <c r="AL72" i="23"/>
  <c r="AR72" i="23"/>
  <c r="S72" i="23"/>
  <c r="AS72" i="23"/>
  <c r="T72" i="23"/>
  <c r="J72" i="23"/>
  <c r="R72" i="23"/>
  <c r="I72" i="23"/>
  <c r="AT72" i="23"/>
  <c r="AU72" i="23"/>
  <c r="Q72" i="23"/>
  <c r="H72" i="23"/>
  <c r="H53" i="20" l="1"/>
  <c r="I53" i="20"/>
  <c r="E54" i="20"/>
  <c r="G54" i="20" s="1"/>
  <c r="G139" i="66"/>
  <c r="C140" i="66"/>
  <c r="D139" i="66"/>
  <c r="H138" i="66"/>
  <c r="F54" i="20"/>
  <c r="D78" i="20"/>
  <c r="A79" i="20"/>
  <c r="AI73" i="23"/>
  <c r="AK73" i="23"/>
  <c r="AC73" i="23"/>
  <c r="AJ73" i="23"/>
  <c r="AL73" i="23"/>
  <c r="AR73" i="23"/>
  <c r="AT73" i="23"/>
  <c r="Q73" i="23"/>
  <c r="S73" i="23"/>
  <c r="I73" i="23"/>
  <c r="AA73" i="23"/>
  <c r="Z73" i="23"/>
  <c r="AU73" i="23"/>
  <c r="R73" i="23"/>
  <c r="AB73" i="23"/>
  <c r="T73" i="23"/>
  <c r="AS73" i="23"/>
  <c r="H73" i="23"/>
  <c r="J73" i="23"/>
  <c r="K73" i="23"/>
  <c r="H54" i="20" l="1"/>
  <c r="I54" i="20"/>
  <c r="E55" i="20"/>
  <c r="G55" i="20" s="1"/>
  <c r="N53" i="20"/>
  <c r="D140" i="66"/>
  <c r="C141" i="66"/>
  <c r="H139" i="66"/>
  <c r="G140" i="66"/>
  <c r="F55" i="20"/>
  <c r="I55" i="20" s="1"/>
  <c r="D79" i="20"/>
  <c r="A80" i="20"/>
  <c r="Z74" i="23"/>
  <c r="AA74" i="23"/>
  <c r="AC74" i="23"/>
  <c r="AK74" i="23"/>
  <c r="AI74" i="23"/>
  <c r="AU74" i="23"/>
  <c r="T74" i="23"/>
  <c r="AB74" i="23"/>
  <c r="AL74" i="23"/>
  <c r="AJ74" i="23"/>
  <c r="AR74" i="23"/>
  <c r="R74" i="23"/>
  <c r="S74" i="23"/>
  <c r="H74" i="23"/>
  <c r="I74" i="23"/>
  <c r="AS74" i="23"/>
  <c r="Q74" i="23"/>
  <c r="J74" i="23"/>
  <c r="K74" i="23"/>
  <c r="AT74" i="23"/>
  <c r="N54" i="20" l="1"/>
  <c r="G141" i="66"/>
  <c r="H140" i="66"/>
  <c r="C142" i="66"/>
  <c r="D141" i="66"/>
  <c r="H55" i="20"/>
  <c r="E56" i="20"/>
  <c r="A81" i="20"/>
  <c r="D80" i="20"/>
  <c r="Z75" i="23"/>
  <c r="AB75" i="23"/>
  <c r="AJ75" i="23"/>
  <c r="AL75" i="23"/>
  <c r="AS75" i="23"/>
  <c r="R75" i="23"/>
  <c r="H75" i="23"/>
  <c r="J75" i="23"/>
  <c r="AI75" i="23"/>
  <c r="AK75" i="23"/>
  <c r="AC75" i="23"/>
  <c r="AT75" i="23"/>
  <c r="Q75" i="23"/>
  <c r="AA75" i="23"/>
  <c r="AU75" i="23"/>
  <c r="AR75" i="23"/>
  <c r="S75" i="23"/>
  <c r="T75" i="23"/>
  <c r="K75" i="23"/>
  <c r="I75" i="23"/>
  <c r="D142" i="66" l="1"/>
  <c r="C143" i="66"/>
  <c r="H141" i="66"/>
  <c r="G142" i="66"/>
  <c r="N55" i="20"/>
  <c r="G56" i="20"/>
  <c r="F56" i="20"/>
  <c r="I56" i="20" s="1"/>
  <c r="D81" i="20"/>
  <c r="A82" i="20"/>
  <c r="Z76" i="23"/>
  <c r="AA76" i="23"/>
  <c r="AC76" i="23"/>
  <c r="AJ76" i="23"/>
  <c r="AB76" i="23"/>
  <c r="AL76" i="23"/>
  <c r="K76" i="23"/>
  <c r="AK76" i="23"/>
  <c r="AI76" i="23"/>
  <c r="AS76" i="23"/>
  <c r="T76" i="23"/>
  <c r="AT76" i="23"/>
  <c r="Q76" i="23"/>
  <c r="AU76" i="23"/>
  <c r="H76" i="23"/>
  <c r="AR76" i="23"/>
  <c r="R76" i="23"/>
  <c r="S76" i="23"/>
  <c r="J76" i="23"/>
  <c r="I76" i="23"/>
  <c r="G143" i="66" l="1"/>
  <c r="H142" i="66"/>
  <c r="C144" i="66"/>
  <c r="D143" i="66"/>
  <c r="H56" i="20"/>
  <c r="E57" i="20"/>
  <c r="A83" i="20"/>
  <c r="D82" i="20"/>
  <c r="Z77" i="23"/>
  <c r="AA77" i="23"/>
  <c r="AI77" i="23"/>
  <c r="AB77" i="23"/>
  <c r="AC77" i="23"/>
  <c r="AJ77" i="23"/>
  <c r="AK77" i="23"/>
  <c r="AR77" i="23"/>
  <c r="AT77" i="23"/>
  <c r="Q77" i="23"/>
  <c r="S77" i="23"/>
  <c r="I77" i="23"/>
  <c r="AL77" i="23"/>
  <c r="AS77" i="23"/>
  <c r="T77" i="23"/>
  <c r="J77" i="23"/>
  <c r="R77" i="23"/>
  <c r="AU77" i="23"/>
  <c r="H77" i="23"/>
  <c r="K77" i="23"/>
  <c r="D144" i="66" l="1"/>
  <c r="C145" i="66"/>
  <c r="H143" i="66"/>
  <c r="G144" i="66"/>
  <c r="N56" i="20"/>
  <c r="G57" i="20"/>
  <c r="F57" i="20"/>
  <c r="I57" i="20" s="1"/>
  <c r="D83" i="20"/>
  <c r="A84" i="20"/>
  <c r="Z78" i="23"/>
  <c r="AI78" i="23"/>
  <c r="AK78" i="23"/>
  <c r="AA78" i="23"/>
  <c r="AB78" i="23"/>
  <c r="AU78" i="23"/>
  <c r="T78" i="23"/>
  <c r="AC78" i="23"/>
  <c r="AJ78" i="23"/>
  <c r="AL78" i="23"/>
  <c r="AR78" i="23"/>
  <c r="R78" i="23"/>
  <c r="S78" i="23"/>
  <c r="AT78" i="23"/>
  <c r="I78" i="23"/>
  <c r="AS78" i="23"/>
  <c r="Q78" i="23"/>
  <c r="J78" i="23"/>
  <c r="K78" i="23"/>
  <c r="H78" i="23"/>
  <c r="G145" i="66" l="1"/>
  <c r="H144" i="66"/>
  <c r="C146" i="66"/>
  <c r="D145" i="66"/>
  <c r="H57" i="20"/>
  <c r="E58" i="20"/>
  <c r="G58" i="20" s="1"/>
  <c r="D84" i="20"/>
  <c r="A85" i="20"/>
  <c r="AB79" i="23"/>
  <c r="AJ79" i="23"/>
  <c r="AC79" i="23"/>
  <c r="AL79" i="23"/>
  <c r="AK79" i="23"/>
  <c r="AS79" i="23"/>
  <c r="R79" i="23"/>
  <c r="H79" i="23"/>
  <c r="J79" i="23"/>
  <c r="Z79" i="23"/>
  <c r="AA79" i="23"/>
  <c r="AI79" i="23"/>
  <c r="AU79" i="23"/>
  <c r="AR79" i="23"/>
  <c r="S79" i="23"/>
  <c r="I79" i="23"/>
  <c r="K79" i="23"/>
  <c r="AT79" i="23"/>
  <c r="T79" i="23"/>
  <c r="Q79" i="23"/>
  <c r="D146" i="66" l="1"/>
  <c r="C147" i="66"/>
  <c r="H145" i="66"/>
  <c r="G146" i="66"/>
  <c r="N57" i="20"/>
  <c r="F58" i="20"/>
  <c r="A86" i="20"/>
  <c r="D85" i="20"/>
  <c r="Z80" i="23"/>
  <c r="AA80" i="23"/>
  <c r="AC80" i="23"/>
  <c r="AI80" i="23"/>
  <c r="AL80" i="23"/>
  <c r="K80" i="23"/>
  <c r="AJ80" i="23"/>
  <c r="AB80" i="23"/>
  <c r="AK80" i="23"/>
  <c r="AT80" i="23"/>
  <c r="Q80" i="23"/>
  <c r="AU80" i="23"/>
  <c r="R80" i="23"/>
  <c r="H80" i="23"/>
  <c r="AS80" i="23"/>
  <c r="I80" i="23"/>
  <c r="AR80" i="23"/>
  <c r="S80" i="23"/>
  <c r="T80" i="23"/>
  <c r="J80" i="23"/>
  <c r="H58" i="20" l="1"/>
  <c r="I58" i="20"/>
  <c r="E59" i="20"/>
  <c r="G59" i="20" s="1"/>
  <c r="F59" i="20"/>
  <c r="G147" i="66"/>
  <c r="H146" i="66"/>
  <c r="C148" i="66"/>
  <c r="D147" i="66"/>
  <c r="N58" i="20"/>
  <c r="A87" i="20"/>
  <c r="D86" i="20"/>
  <c r="AI81" i="23"/>
  <c r="Z81" i="23"/>
  <c r="AA81" i="23"/>
  <c r="AJ81" i="23"/>
  <c r="AL81" i="23"/>
  <c r="AR81" i="23"/>
  <c r="AT81" i="23"/>
  <c r="Q81" i="23"/>
  <c r="S81" i="23"/>
  <c r="I81" i="23"/>
  <c r="AC81" i="23"/>
  <c r="AB81" i="23"/>
  <c r="AS81" i="23"/>
  <c r="T81" i="23"/>
  <c r="J81" i="23"/>
  <c r="AK81" i="23"/>
  <c r="K81" i="23"/>
  <c r="AU81" i="23"/>
  <c r="R81" i="23"/>
  <c r="H81" i="23"/>
  <c r="H59" i="20" l="1"/>
  <c r="N59" i="20" s="1"/>
  <c r="I59" i="20"/>
  <c r="E60" i="20"/>
  <c r="G60" i="20" s="1"/>
  <c r="D148" i="66"/>
  <c r="C149" i="66"/>
  <c r="H147" i="66"/>
  <c r="G148" i="66"/>
  <c r="D87" i="20"/>
  <c r="A88" i="20"/>
  <c r="F60" i="20"/>
  <c r="Z82" i="23"/>
  <c r="AA82" i="23"/>
  <c r="AB82" i="23"/>
  <c r="AK82" i="23"/>
  <c r="AC82" i="23"/>
  <c r="AI82" i="23"/>
  <c r="AJ82" i="23"/>
  <c r="AU82" i="23"/>
  <c r="T82" i="23"/>
  <c r="AL82" i="23"/>
  <c r="AS82" i="23"/>
  <c r="AT82" i="23"/>
  <c r="Q82" i="23"/>
  <c r="J82" i="23"/>
  <c r="R82" i="23"/>
  <c r="H82" i="23"/>
  <c r="S82" i="23"/>
  <c r="AR82" i="23"/>
  <c r="I82" i="23"/>
  <c r="K82" i="23"/>
  <c r="H60" i="20" l="1"/>
  <c r="I60" i="20"/>
  <c r="G149" i="66"/>
  <c r="H148" i="66"/>
  <c r="C150" i="66"/>
  <c r="D149" i="66"/>
  <c r="D88" i="20"/>
  <c r="A89" i="20"/>
  <c r="AB83" i="23"/>
  <c r="AJ83" i="23"/>
  <c r="AI83" i="23"/>
  <c r="AL83" i="23"/>
  <c r="AC83" i="23"/>
  <c r="AA83" i="23"/>
  <c r="AS83" i="23"/>
  <c r="R83" i="23"/>
  <c r="H83" i="23"/>
  <c r="J83" i="23"/>
  <c r="Z83" i="23"/>
  <c r="AR83" i="23"/>
  <c r="S83" i="23"/>
  <c r="T83" i="23"/>
  <c r="AT83" i="23"/>
  <c r="AK83" i="23"/>
  <c r="AU83" i="23"/>
  <c r="Q83" i="23"/>
  <c r="I83" i="23"/>
  <c r="K83" i="23"/>
  <c r="E61" i="20"/>
  <c r="G61" i="20" s="1"/>
  <c r="N60" i="20" l="1"/>
  <c r="C151" i="66"/>
  <c r="D150" i="66"/>
  <c r="H149" i="66"/>
  <c r="G150" i="66"/>
  <c r="D89" i="20"/>
  <c r="A90" i="20"/>
  <c r="F61" i="20"/>
  <c r="Z84" i="23"/>
  <c r="AA84" i="23"/>
  <c r="AC84" i="23"/>
  <c r="AB84" i="23"/>
  <c r="AJ84" i="23"/>
  <c r="AK84" i="23"/>
  <c r="K84" i="23"/>
  <c r="AL84" i="23"/>
  <c r="AI84" i="23"/>
  <c r="AU84" i="23"/>
  <c r="R84" i="23"/>
  <c r="AR84" i="23"/>
  <c r="S84" i="23"/>
  <c r="I84" i="23"/>
  <c r="Q84" i="23"/>
  <c r="H84" i="23"/>
  <c r="J84" i="23"/>
  <c r="AS84" i="23"/>
  <c r="AT84" i="23"/>
  <c r="T84" i="23"/>
  <c r="H61" i="20" l="1"/>
  <c r="I61" i="20"/>
  <c r="E62" i="20"/>
  <c r="G62" i="20" s="1"/>
  <c r="H150" i="66"/>
  <c r="D151" i="66"/>
  <c r="G151" i="66"/>
  <c r="C152" i="66"/>
  <c r="A91" i="20"/>
  <c r="D90" i="20"/>
  <c r="Z85" i="23"/>
  <c r="AI85" i="23"/>
  <c r="AC85" i="23"/>
  <c r="AK85" i="23"/>
  <c r="AR85" i="23"/>
  <c r="AT85" i="23"/>
  <c r="Q85" i="23"/>
  <c r="S85" i="23"/>
  <c r="I85" i="23"/>
  <c r="AA85" i="23"/>
  <c r="AJ85" i="23"/>
  <c r="AL85" i="23"/>
  <c r="AB85" i="23"/>
  <c r="AU85" i="23"/>
  <c r="R85" i="23"/>
  <c r="H85" i="23"/>
  <c r="AS85" i="23"/>
  <c r="T85" i="23"/>
  <c r="K85" i="23"/>
  <c r="J85" i="23"/>
  <c r="F62" i="20"/>
  <c r="H62" i="20" l="1"/>
  <c r="I62" i="20"/>
  <c r="N61" i="20"/>
  <c r="C153" i="66"/>
  <c r="G152" i="66"/>
  <c r="D152" i="66"/>
  <c r="H151" i="66"/>
  <c r="D91" i="20"/>
  <c r="A92" i="20"/>
  <c r="E63" i="20"/>
  <c r="G63" i="20" s="1"/>
  <c r="Z86" i="23"/>
  <c r="AJ86" i="23"/>
  <c r="AK86" i="23"/>
  <c r="AA86" i="23"/>
  <c r="AL86" i="23"/>
  <c r="AB86" i="23"/>
  <c r="AU86" i="23"/>
  <c r="T86" i="23"/>
  <c r="AI86" i="23"/>
  <c r="AC86" i="23"/>
  <c r="AS86" i="23"/>
  <c r="AT86" i="23"/>
  <c r="Q86" i="23"/>
  <c r="AR86" i="23"/>
  <c r="S86" i="23"/>
  <c r="I86" i="23"/>
  <c r="R86" i="23"/>
  <c r="K86" i="23"/>
  <c r="H86" i="23"/>
  <c r="J86" i="23"/>
  <c r="N62" i="20" l="1"/>
  <c r="D153" i="66"/>
  <c r="H152" i="66"/>
  <c r="G153" i="66"/>
  <c r="C154" i="66"/>
  <c r="A93" i="20"/>
  <c r="D92" i="20"/>
  <c r="AA87" i="23"/>
  <c r="AB87" i="23"/>
  <c r="AJ87" i="23"/>
  <c r="AL87" i="23"/>
  <c r="Z87" i="23"/>
  <c r="AI87" i="23"/>
  <c r="AS87" i="23"/>
  <c r="R87" i="23"/>
  <c r="H87" i="23"/>
  <c r="J87" i="23"/>
  <c r="AK87" i="23"/>
  <c r="AC87" i="23"/>
  <c r="T87" i="23"/>
  <c r="AT87" i="23"/>
  <c r="Q87" i="23"/>
  <c r="AU87" i="23"/>
  <c r="AR87" i="23"/>
  <c r="S87" i="23"/>
  <c r="I87" i="23"/>
  <c r="K87" i="23"/>
  <c r="F63" i="20"/>
  <c r="H63" i="20" l="1"/>
  <c r="I63" i="20"/>
  <c r="G154" i="66"/>
  <c r="C155" i="66"/>
  <c r="H153" i="66"/>
  <c r="D154" i="66"/>
  <c r="D93" i="20"/>
  <c r="A94" i="20"/>
  <c r="E64" i="20"/>
  <c r="G64" i="20" s="1"/>
  <c r="Z88" i="23"/>
  <c r="AA88" i="23"/>
  <c r="AC88" i="23"/>
  <c r="AB88" i="23"/>
  <c r="AI88" i="23"/>
  <c r="AL88" i="23"/>
  <c r="K88" i="23"/>
  <c r="AK88" i="23"/>
  <c r="AJ88" i="23"/>
  <c r="AR88" i="23"/>
  <c r="S88" i="23"/>
  <c r="AS88" i="23"/>
  <c r="T88" i="23"/>
  <c r="J88" i="23"/>
  <c r="AT88" i="23"/>
  <c r="AU88" i="23"/>
  <c r="Q88" i="23"/>
  <c r="R88" i="23"/>
  <c r="I88" i="23"/>
  <c r="H88" i="23"/>
  <c r="N63" i="20" l="1"/>
  <c r="D155" i="66"/>
  <c r="H154" i="66"/>
  <c r="C156" i="66"/>
  <c r="G155" i="66"/>
  <c r="F64" i="20"/>
  <c r="A95" i="20"/>
  <c r="D94" i="20"/>
  <c r="Z89" i="23"/>
  <c r="AI89" i="23"/>
  <c r="AA89" i="23"/>
  <c r="AK89" i="23"/>
  <c r="AR89" i="23"/>
  <c r="AT89" i="23"/>
  <c r="Q89" i="23"/>
  <c r="S89" i="23"/>
  <c r="I89" i="23"/>
  <c r="AB89" i="23"/>
  <c r="AL89" i="23"/>
  <c r="AU89" i="23"/>
  <c r="R89" i="23"/>
  <c r="H89" i="23"/>
  <c r="J89" i="23"/>
  <c r="AC89" i="23"/>
  <c r="AJ89" i="23"/>
  <c r="AS89" i="23"/>
  <c r="T89" i="23"/>
  <c r="K89" i="23"/>
  <c r="H64" i="20" l="1"/>
  <c r="I64" i="20"/>
  <c r="G156" i="66"/>
  <c r="C157" i="66"/>
  <c r="H155" i="66"/>
  <c r="D156" i="66"/>
  <c r="N64" i="20"/>
  <c r="E65" i="20"/>
  <c r="G65" i="20" s="1"/>
  <c r="D95" i="20"/>
  <c r="A96" i="20"/>
  <c r="Z90" i="23"/>
  <c r="AC90" i="23"/>
  <c r="AK90" i="23"/>
  <c r="AB90" i="23"/>
  <c r="AJ90" i="23"/>
  <c r="AU90" i="23"/>
  <c r="T90" i="23"/>
  <c r="AA90" i="23"/>
  <c r="AI90" i="23"/>
  <c r="AL90" i="23"/>
  <c r="AR90" i="23"/>
  <c r="R90" i="23"/>
  <c r="S90" i="23"/>
  <c r="H90" i="23"/>
  <c r="I90" i="23"/>
  <c r="K90" i="23"/>
  <c r="Q90" i="23"/>
  <c r="AT90" i="23"/>
  <c r="J90" i="23"/>
  <c r="AS90" i="23"/>
  <c r="F65" i="20" l="1"/>
  <c r="I65" i="20" s="1"/>
  <c r="D157" i="66"/>
  <c r="H156" i="66"/>
  <c r="C158" i="66"/>
  <c r="G157" i="66"/>
  <c r="E66" i="20"/>
  <c r="G66" i="20" s="1"/>
  <c r="H65" i="20"/>
  <c r="A97" i="20"/>
  <c r="D96" i="20"/>
  <c r="AB91" i="23"/>
  <c r="AJ91" i="23"/>
  <c r="Z91" i="23"/>
  <c r="AL91" i="23"/>
  <c r="AC91" i="23"/>
  <c r="AI91" i="23"/>
  <c r="AS91" i="23"/>
  <c r="R91" i="23"/>
  <c r="H91" i="23"/>
  <c r="J91" i="23"/>
  <c r="AK91" i="23"/>
  <c r="AA91" i="23"/>
  <c r="AT91" i="23"/>
  <c r="Q91" i="23"/>
  <c r="AU91" i="23"/>
  <c r="AR91" i="23"/>
  <c r="S91" i="23"/>
  <c r="T91" i="23"/>
  <c r="K91" i="23"/>
  <c r="I91" i="23"/>
  <c r="G158" i="66" l="1"/>
  <c r="C159" i="66"/>
  <c r="H157" i="66"/>
  <c r="D158" i="66"/>
  <c r="N65" i="20"/>
  <c r="F66" i="20"/>
  <c r="A98" i="20"/>
  <c r="D97" i="20"/>
  <c r="Z92" i="23"/>
  <c r="AA92" i="23"/>
  <c r="AC92" i="23"/>
  <c r="AJ92" i="23"/>
  <c r="AL92" i="23"/>
  <c r="AK92" i="23"/>
  <c r="K92" i="23"/>
  <c r="AB92" i="23"/>
  <c r="AI92" i="23"/>
  <c r="AS92" i="23"/>
  <c r="T92" i="23"/>
  <c r="AT92" i="23"/>
  <c r="Q92" i="23"/>
  <c r="I92" i="23"/>
  <c r="AU92" i="23"/>
  <c r="H92" i="23"/>
  <c r="J92" i="23"/>
  <c r="AR92" i="23"/>
  <c r="R92" i="23"/>
  <c r="S92" i="23"/>
  <c r="H66" i="20" l="1"/>
  <c r="I66" i="20"/>
  <c r="E67" i="20"/>
  <c r="G67" i="20" s="1"/>
  <c r="D159" i="66"/>
  <c r="H158" i="66"/>
  <c r="C160" i="66"/>
  <c r="G159" i="66"/>
  <c r="L28" i="37"/>
  <c r="L27" i="37"/>
  <c r="L26" i="37"/>
  <c r="B28" i="1" s="1"/>
  <c r="L25" i="37"/>
  <c r="B26" i="1" s="1"/>
  <c r="L24" i="37"/>
  <c r="B25" i="1" s="1"/>
  <c r="H37" i="37"/>
  <c r="F67" i="20"/>
  <c r="I67" i="20" s="1"/>
  <c r="D98" i="20"/>
  <c r="A99" i="20"/>
  <c r="Z93" i="23"/>
  <c r="AA93" i="23"/>
  <c r="AI93" i="23"/>
  <c r="AB93" i="23"/>
  <c r="AC93" i="23"/>
  <c r="AJ93" i="23"/>
  <c r="AR93" i="23"/>
  <c r="AT93" i="23"/>
  <c r="Q93" i="23"/>
  <c r="S93" i="23"/>
  <c r="I93" i="23"/>
  <c r="AL93" i="23"/>
  <c r="AK93" i="23"/>
  <c r="AS93" i="23"/>
  <c r="T93" i="23"/>
  <c r="J93" i="23"/>
  <c r="R93" i="23"/>
  <c r="H93" i="23"/>
  <c r="AU93" i="23"/>
  <c r="K93" i="23"/>
  <c r="N66" i="20" l="1"/>
  <c r="G160" i="66"/>
  <c r="C161" i="66"/>
  <c r="H159" i="66"/>
  <c r="D160" i="66"/>
  <c r="H67" i="20"/>
  <c r="E68" i="20"/>
  <c r="G68" i="20" s="1"/>
  <c r="A100" i="20"/>
  <c r="D99" i="20"/>
  <c r="Z94" i="23"/>
  <c r="AI94" i="23"/>
  <c r="AK94" i="23"/>
  <c r="AA94" i="23"/>
  <c r="AL94" i="23"/>
  <c r="AU94" i="23"/>
  <c r="T94" i="23"/>
  <c r="AC94" i="23"/>
  <c r="AJ94" i="23"/>
  <c r="AB94" i="23"/>
  <c r="AR94" i="23"/>
  <c r="R94" i="23"/>
  <c r="S94" i="23"/>
  <c r="I94" i="23"/>
  <c r="AT94" i="23"/>
  <c r="AS94" i="23"/>
  <c r="H94" i="23"/>
  <c r="Q94" i="23"/>
  <c r="J94" i="23"/>
  <c r="K94" i="23"/>
  <c r="F68" i="20" l="1"/>
  <c r="I68" i="20" s="1"/>
  <c r="D161" i="66"/>
  <c r="H160" i="66"/>
  <c r="C162" i="66"/>
  <c r="G161" i="66"/>
  <c r="N67" i="20"/>
  <c r="E69" i="20"/>
  <c r="G69" i="20" s="1"/>
  <c r="H68" i="20"/>
  <c r="D100" i="20"/>
  <c r="A101" i="20"/>
  <c r="AB95" i="23"/>
  <c r="AJ95" i="23"/>
  <c r="Z95" i="23"/>
  <c r="AA95" i="23"/>
  <c r="AC95" i="23"/>
  <c r="AL95" i="23"/>
  <c r="AI95" i="23"/>
  <c r="AK95" i="23"/>
  <c r="AS95" i="23"/>
  <c r="R95" i="23"/>
  <c r="H95" i="23"/>
  <c r="J95" i="23"/>
  <c r="AU95" i="23"/>
  <c r="AR95" i="23"/>
  <c r="S95" i="23"/>
  <c r="I95" i="23"/>
  <c r="Q95" i="23"/>
  <c r="K95" i="23"/>
  <c r="AT95" i="23"/>
  <c r="T95" i="23"/>
  <c r="G162" i="66" l="1"/>
  <c r="C163" i="66"/>
  <c r="H161" i="66"/>
  <c r="D162" i="66"/>
  <c r="N68" i="20"/>
  <c r="F69" i="20"/>
  <c r="A102" i="20"/>
  <c r="D101" i="20"/>
  <c r="Z96" i="23"/>
  <c r="AA96" i="23"/>
  <c r="AC96" i="23"/>
  <c r="AB96" i="23"/>
  <c r="K96" i="23"/>
  <c r="AK96" i="23"/>
  <c r="AJ96" i="23"/>
  <c r="AL96" i="23"/>
  <c r="AI96" i="23"/>
  <c r="AT96" i="23"/>
  <c r="Q96" i="23"/>
  <c r="AU96" i="23"/>
  <c r="R96" i="23"/>
  <c r="H96" i="23"/>
  <c r="AR96" i="23"/>
  <c r="AS96" i="23"/>
  <c r="S96" i="23"/>
  <c r="T96" i="23"/>
  <c r="J96" i="23"/>
  <c r="I96" i="23"/>
  <c r="H69" i="20" l="1"/>
  <c r="I69" i="20"/>
  <c r="D163" i="66"/>
  <c r="H162" i="66"/>
  <c r="C164" i="66"/>
  <c r="G163" i="66"/>
  <c r="N69" i="20"/>
  <c r="E70" i="20"/>
  <c r="G70" i="20" s="1"/>
  <c r="D102" i="20"/>
  <c r="A103" i="20"/>
  <c r="AI97" i="23"/>
  <c r="AJ97" i="23"/>
  <c r="AA97" i="23"/>
  <c r="AB97" i="23"/>
  <c r="AL97" i="23"/>
  <c r="AR97" i="23"/>
  <c r="AT97" i="23"/>
  <c r="Q97" i="23"/>
  <c r="S97" i="23"/>
  <c r="I97" i="23"/>
  <c r="AC97" i="23"/>
  <c r="AK97" i="23"/>
  <c r="Z97" i="23"/>
  <c r="AS97" i="23"/>
  <c r="T97" i="23"/>
  <c r="AU97" i="23"/>
  <c r="H97" i="23"/>
  <c r="R97" i="23"/>
  <c r="J97" i="23"/>
  <c r="K97" i="23"/>
  <c r="F70" i="20" l="1"/>
  <c r="I70" i="20" s="1"/>
  <c r="C165" i="66"/>
  <c r="H163" i="66"/>
  <c r="G164" i="66"/>
  <c r="D164" i="66"/>
  <c r="E71" i="20"/>
  <c r="G71" i="20" s="1"/>
  <c r="H70" i="20"/>
  <c r="F71" i="20"/>
  <c r="I71" i="20" s="1"/>
  <c r="A104" i="20"/>
  <c r="D103" i="20"/>
  <c r="Z98" i="23"/>
  <c r="AA98" i="23"/>
  <c r="AB98" i="23"/>
  <c r="AK98" i="23"/>
  <c r="AC98" i="23"/>
  <c r="AJ98" i="23"/>
  <c r="AU98" i="23"/>
  <c r="T98" i="23"/>
  <c r="AI98" i="23"/>
  <c r="AL98" i="23"/>
  <c r="AS98" i="23"/>
  <c r="AT98" i="23"/>
  <c r="Q98" i="23"/>
  <c r="J98" i="23"/>
  <c r="R98" i="23"/>
  <c r="AR98" i="23"/>
  <c r="S98" i="23"/>
  <c r="H98" i="23"/>
  <c r="I98" i="23"/>
  <c r="K98" i="23"/>
  <c r="G165" i="66" l="1"/>
  <c r="D165" i="66"/>
  <c r="H164" i="66"/>
  <c r="C166" i="66"/>
  <c r="N70" i="20"/>
  <c r="E72" i="20"/>
  <c r="G72" i="20" s="1"/>
  <c r="H71" i="20"/>
  <c r="N71" i="20" s="1"/>
  <c r="A105" i="20"/>
  <c r="D104" i="20"/>
  <c r="AB99" i="23"/>
  <c r="AJ99" i="23"/>
  <c r="AI99" i="23"/>
  <c r="AL99" i="23"/>
  <c r="Z99" i="23"/>
  <c r="AK99" i="23"/>
  <c r="AS99" i="23"/>
  <c r="R99" i="23"/>
  <c r="H99" i="23"/>
  <c r="J99" i="23"/>
  <c r="AA99" i="23"/>
  <c r="AC99" i="23"/>
  <c r="AR99" i="23"/>
  <c r="S99" i="23"/>
  <c r="T99" i="23"/>
  <c r="AT99" i="23"/>
  <c r="I99" i="23"/>
  <c r="AU99" i="23"/>
  <c r="Q99" i="23"/>
  <c r="K99" i="23"/>
  <c r="C167" i="66" l="1"/>
  <c r="D166" i="66"/>
  <c r="H165" i="66"/>
  <c r="G166" i="66"/>
  <c r="F72" i="20"/>
  <c r="A106" i="20"/>
  <c r="D105" i="20"/>
  <c r="Z100" i="23"/>
  <c r="AA100" i="23"/>
  <c r="AC100" i="23"/>
  <c r="AK100" i="23"/>
  <c r="AI100" i="23"/>
  <c r="K100" i="23"/>
  <c r="AL100" i="23"/>
  <c r="AB100" i="23"/>
  <c r="AJ100" i="23"/>
  <c r="AU100" i="23"/>
  <c r="R100" i="23"/>
  <c r="AR100" i="23"/>
  <c r="S100" i="23"/>
  <c r="I100" i="23"/>
  <c r="AS100" i="23"/>
  <c r="AT100" i="23"/>
  <c r="T100" i="23"/>
  <c r="Q100" i="23"/>
  <c r="J100" i="23"/>
  <c r="H100" i="23"/>
  <c r="H72" i="20" l="1"/>
  <c r="I72" i="20"/>
  <c r="H166" i="66"/>
  <c r="D167" i="66"/>
  <c r="G167" i="66"/>
  <c r="C168" i="66"/>
  <c r="E73" i="20"/>
  <c r="G73" i="20" s="1"/>
  <c r="A107" i="20"/>
  <c r="D106" i="20"/>
  <c r="Z101" i="23"/>
  <c r="AI101" i="23"/>
  <c r="AC101" i="23"/>
  <c r="AJ101" i="23"/>
  <c r="AL101" i="23"/>
  <c r="AR101" i="23"/>
  <c r="AT101" i="23"/>
  <c r="Q101" i="23"/>
  <c r="S101" i="23"/>
  <c r="I101" i="23"/>
  <c r="AA101" i="23"/>
  <c r="AB101" i="23"/>
  <c r="AK101" i="23"/>
  <c r="AU101" i="23"/>
  <c r="R101" i="23"/>
  <c r="H101" i="23"/>
  <c r="K101" i="23"/>
  <c r="AS101" i="23"/>
  <c r="T101" i="23"/>
  <c r="J101" i="23"/>
  <c r="F73" i="20" l="1"/>
  <c r="I73" i="20" s="1"/>
  <c r="N72" i="20"/>
  <c r="C169" i="66"/>
  <c r="G168" i="66"/>
  <c r="D168" i="66"/>
  <c r="H167" i="66"/>
  <c r="H73" i="20"/>
  <c r="E74" i="20"/>
  <c r="G74" i="20" s="1"/>
  <c r="A108" i="20"/>
  <c r="D107" i="20"/>
  <c r="Z102" i="23"/>
  <c r="AA102" i="23"/>
  <c r="AJ102" i="23"/>
  <c r="AK102" i="23"/>
  <c r="AI102" i="23"/>
  <c r="AL102" i="23"/>
  <c r="AC102" i="23"/>
  <c r="AU102" i="23"/>
  <c r="T102" i="23"/>
  <c r="AB102" i="23"/>
  <c r="AS102" i="23"/>
  <c r="AT102" i="23"/>
  <c r="Q102" i="23"/>
  <c r="J102" i="23"/>
  <c r="I102" i="23"/>
  <c r="K102" i="23"/>
  <c r="AR102" i="23"/>
  <c r="S102" i="23"/>
  <c r="R102" i="23"/>
  <c r="H102" i="23"/>
  <c r="F74" i="20" l="1"/>
  <c r="H168" i="66"/>
  <c r="D169" i="66"/>
  <c r="G169" i="66"/>
  <c r="C170" i="66"/>
  <c r="N73" i="20"/>
  <c r="A109" i="20"/>
  <c r="D108" i="20"/>
  <c r="Z103" i="23"/>
  <c r="AA103" i="23"/>
  <c r="AB103" i="23"/>
  <c r="AJ103" i="23"/>
  <c r="AL103" i="23"/>
  <c r="AS103" i="23"/>
  <c r="R103" i="23"/>
  <c r="H103" i="23"/>
  <c r="J103" i="23"/>
  <c r="AI103" i="23"/>
  <c r="AC103" i="23"/>
  <c r="AK103" i="23"/>
  <c r="T103" i="23"/>
  <c r="AT103" i="23"/>
  <c r="Q103" i="23"/>
  <c r="AU103" i="23"/>
  <c r="AR103" i="23"/>
  <c r="I103" i="23"/>
  <c r="K103" i="23"/>
  <c r="S103" i="23"/>
  <c r="E75" i="20"/>
  <c r="G75" i="20" s="1"/>
  <c r="H74" i="20" l="1"/>
  <c r="I74" i="20"/>
  <c r="G170" i="66"/>
  <c r="D170" i="66"/>
  <c r="C171" i="66"/>
  <c r="H169" i="66"/>
  <c r="F75" i="20"/>
  <c r="A110" i="20"/>
  <c r="D109" i="20"/>
  <c r="Z104" i="23"/>
  <c r="AA104" i="23"/>
  <c r="AC104" i="23"/>
  <c r="AB104" i="23"/>
  <c r="AI104" i="23"/>
  <c r="K104" i="23"/>
  <c r="AK104" i="23"/>
  <c r="AL104" i="23"/>
  <c r="AJ104" i="23"/>
  <c r="AR104" i="23"/>
  <c r="S104" i="23"/>
  <c r="AS104" i="23"/>
  <c r="T104" i="23"/>
  <c r="J104" i="23"/>
  <c r="R104" i="23"/>
  <c r="H104" i="23"/>
  <c r="AT104" i="23"/>
  <c r="Q104" i="23"/>
  <c r="I104" i="23"/>
  <c r="AU104" i="23"/>
  <c r="H75" i="20" l="1"/>
  <c r="I75" i="20"/>
  <c r="N74" i="20"/>
  <c r="H170" i="66"/>
  <c r="C172" i="66"/>
  <c r="D171" i="66"/>
  <c r="G171" i="66"/>
  <c r="N75" i="20"/>
  <c r="E76" i="20"/>
  <c r="G76" i="20" s="1"/>
  <c r="D110" i="20"/>
  <c r="A111" i="20"/>
  <c r="AI105" i="23"/>
  <c r="Z105" i="23"/>
  <c r="AB105" i="23"/>
  <c r="AC105" i="23"/>
  <c r="AJ105" i="23"/>
  <c r="AK105" i="23"/>
  <c r="AR105" i="23"/>
  <c r="AT105" i="23"/>
  <c r="Q105" i="23"/>
  <c r="S105" i="23"/>
  <c r="I105" i="23"/>
  <c r="AA105" i="23"/>
  <c r="AL105" i="23"/>
  <c r="AU105" i="23"/>
  <c r="R105" i="23"/>
  <c r="H105" i="23"/>
  <c r="J105" i="23"/>
  <c r="K105" i="23"/>
  <c r="AS105" i="23"/>
  <c r="T105" i="23"/>
  <c r="G172" i="66" l="1"/>
  <c r="C173" i="66"/>
  <c r="D172" i="66"/>
  <c r="H171" i="66"/>
  <c r="F76" i="20"/>
  <c r="A112" i="20"/>
  <c r="D111" i="20"/>
  <c r="E77" i="20"/>
  <c r="G77" i="20" s="1"/>
  <c r="Z106" i="23"/>
  <c r="AC106" i="23"/>
  <c r="AK106" i="23"/>
  <c r="AA106" i="23"/>
  <c r="AB106" i="23"/>
  <c r="AU106" i="23"/>
  <c r="T106" i="23"/>
  <c r="AJ106" i="23"/>
  <c r="AL106" i="23"/>
  <c r="AR106" i="23"/>
  <c r="R106" i="23"/>
  <c r="S106" i="23"/>
  <c r="H106" i="23"/>
  <c r="I106" i="23"/>
  <c r="AS106" i="23"/>
  <c r="Q106" i="23"/>
  <c r="K106" i="23"/>
  <c r="AI106" i="23"/>
  <c r="J106" i="23"/>
  <c r="AT106" i="23"/>
  <c r="H76" i="20" l="1"/>
  <c r="I76" i="20"/>
  <c r="H172" i="66"/>
  <c r="D173" i="66"/>
  <c r="C174" i="66"/>
  <c r="G173" i="66"/>
  <c r="N76" i="20"/>
  <c r="A113" i="20"/>
  <c r="D112" i="20"/>
  <c r="F77" i="20"/>
  <c r="Z107" i="23"/>
  <c r="AB107" i="23"/>
  <c r="AJ107" i="23"/>
  <c r="AL107" i="23"/>
  <c r="AA107" i="23"/>
  <c r="AK107" i="23"/>
  <c r="AS107" i="23"/>
  <c r="R107" i="23"/>
  <c r="H107" i="23"/>
  <c r="J107" i="23"/>
  <c r="AC107" i="23"/>
  <c r="AI107" i="23"/>
  <c r="AT107" i="23"/>
  <c r="Q107" i="23"/>
  <c r="AU107" i="23"/>
  <c r="AR107" i="23"/>
  <c r="S107" i="23"/>
  <c r="T107" i="23"/>
  <c r="I107" i="23"/>
  <c r="K107" i="23"/>
  <c r="H77" i="20" l="1"/>
  <c r="I77" i="20"/>
  <c r="G174" i="66"/>
  <c r="C175" i="66"/>
  <c r="D174" i="66"/>
  <c r="H173" i="66"/>
  <c r="A114" i="20"/>
  <c r="D113" i="20"/>
  <c r="Z108" i="23"/>
  <c r="AA108" i="23"/>
  <c r="AC108" i="23"/>
  <c r="AJ108" i="23"/>
  <c r="AI108" i="23"/>
  <c r="AL108" i="23"/>
  <c r="K108" i="23"/>
  <c r="AK108" i="23"/>
  <c r="AS108" i="23"/>
  <c r="T108" i="23"/>
  <c r="AT108" i="23"/>
  <c r="Q108" i="23"/>
  <c r="AU108" i="23"/>
  <c r="AB108" i="23"/>
  <c r="AR108" i="23"/>
  <c r="R108" i="23"/>
  <c r="S108" i="23"/>
  <c r="I108" i="23"/>
  <c r="J108" i="23"/>
  <c r="H108" i="23"/>
  <c r="E78" i="20"/>
  <c r="G78" i="20" s="1"/>
  <c r="N77" i="20" l="1"/>
  <c r="H174" i="66"/>
  <c r="D175" i="66"/>
  <c r="C176" i="66"/>
  <c r="G175" i="66"/>
  <c r="D114" i="20"/>
  <c r="A115" i="20"/>
  <c r="F78" i="20"/>
  <c r="Z109" i="23"/>
  <c r="AA109" i="23"/>
  <c r="AI109" i="23"/>
  <c r="AB109" i="23"/>
  <c r="AL109" i="23"/>
  <c r="AR109" i="23"/>
  <c r="AT109" i="23"/>
  <c r="Q109" i="23"/>
  <c r="S109" i="23"/>
  <c r="I109" i="23"/>
  <c r="AC109" i="23"/>
  <c r="AJ109" i="23"/>
  <c r="AK109" i="23"/>
  <c r="AS109" i="23"/>
  <c r="T109" i="23"/>
  <c r="J109" i="23"/>
  <c r="AU109" i="23"/>
  <c r="R109" i="23"/>
  <c r="H109" i="23"/>
  <c r="K109" i="23"/>
  <c r="H78" i="20" l="1"/>
  <c r="I78" i="20"/>
  <c r="G176" i="66"/>
  <c r="C177" i="66"/>
  <c r="D176" i="66"/>
  <c r="H175" i="66"/>
  <c r="A116" i="20"/>
  <c r="D115" i="20"/>
  <c r="Z110" i="23"/>
  <c r="AA110" i="23"/>
  <c r="AI110" i="23"/>
  <c r="AK110" i="23"/>
  <c r="AC110" i="23"/>
  <c r="AJ110" i="23"/>
  <c r="AU110" i="23"/>
  <c r="T110" i="23"/>
  <c r="AB110" i="23"/>
  <c r="AL110" i="23"/>
  <c r="AR110" i="23"/>
  <c r="R110" i="23"/>
  <c r="S110" i="23"/>
  <c r="AT110" i="23"/>
  <c r="H110" i="23"/>
  <c r="J110" i="23"/>
  <c r="AS110" i="23"/>
  <c r="Q110" i="23"/>
  <c r="K110" i="23"/>
  <c r="I110" i="23"/>
  <c r="E79" i="20"/>
  <c r="G79" i="20" s="1"/>
  <c r="N78" i="20" l="1"/>
  <c r="H176" i="66"/>
  <c r="C178" i="66"/>
  <c r="D177" i="66"/>
  <c r="G177" i="66"/>
  <c r="F79" i="20"/>
  <c r="I79" i="20" s="1"/>
  <c r="D116" i="20"/>
  <c r="A117" i="20"/>
  <c r="AB111" i="23"/>
  <c r="AC111" i="23"/>
  <c r="AL111" i="23"/>
  <c r="AJ111" i="23"/>
  <c r="AK111" i="23"/>
  <c r="Z111" i="23"/>
  <c r="AI111" i="23"/>
  <c r="AS111" i="23"/>
  <c r="R111" i="23"/>
  <c r="H111" i="23"/>
  <c r="J111" i="23"/>
  <c r="AA111" i="23"/>
  <c r="AU111" i="23"/>
  <c r="AR111" i="23"/>
  <c r="S111" i="23"/>
  <c r="I111" i="23"/>
  <c r="K111" i="23"/>
  <c r="Q111" i="23"/>
  <c r="AT111" i="23"/>
  <c r="T111" i="23"/>
  <c r="G178" i="66" l="1"/>
  <c r="D178" i="66"/>
  <c r="C179" i="66"/>
  <c r="H177" i="66"/>
  <c r="E80" i="20"/>
  <c r="G80" i="20" s="1"/>
  <c r="H79" i="20"/>
  <c r="N79" i="20" s="1"/>
  <c r="D117" i="20"/>
  <c r="A118" i="20"/>
  <c r="Z112" i="23"/>
  <c r="AA112" i="23"/>
  <c r="AC112" i="23"/>
  <c r="AJ112" i="23"/>
  <c r="AB112" i="23"/>
  <c r="K112" i="23"/>
  <c r="AI112" i="23"/>
  <c r="AL112" i="23"/>
  <c r="AK112" i="23"/>
  <c r="AT112" i="23"/>
  <c r="Q112" i="23"/>
  <c r="AU112" i="23"/>
  <c r="R112" i="23"/>
  <c r="H112" i="23"/>
  <c r="AR112" i="23"/>
  <c r="S112" i="23"/>
  <c r="T112" i="23"/>
  <c r="J112" i="23"/>
  <c r="AS112" i="23"/>
  <c r="I112" i="23"/>
  <c r="C180" i="66" l="1"/>
  <c r="H178" i="66"/>
  <c r="D179" i="66"/>
  <c r="G179" i="66"/>
  <c r="L21" i="37"/>
  <c r="L20" i="37"/>
  <c r="L18" i="37"/>
  <c r="B24" i="1" s="1"/>
  <c r="L17" i="37"/>
  <c r="B23" i="1" s="1"/>
  <c r="B27" i="1"/>
  <c r="F80" i="20"/>
  <c r="A119" i="20"/>
  <c r="D119" i="20" s="1"/>
  <c r="D118" i="20"/>
  <c r="AI113" i="23"/>
  <c r="AC113" i="23"/>
  <c r="AL113" i="23"/>
  <c r="AK113" i="23"/>
  <c r="AR113" i="23"/>
  <c r="AT113" i="23"/>
  <c r="Q113" i="23"/>
  <c r="S113" i="23"/>
  <c r="I113" i="23"/>
  <c r="AB113" i="23"/>
  <c r="Z113" i="23"/>
  <c r="AA113" i="23"/>
  <c r="AJ113" i="23"/>
  <c r="AS113" i="23"/>
  <c r="T113" i="23"/>
  <c r="AU113" i="23"/>
  <c r="H113" i="23"/>
  <c r="K113" i="23"/>
  <c r="J113" i="23"/>
  <c r="R113" i="23"/>
  <c r="H80" i="20" l="1"/>
  <c r="I80" i="20"/>
  <c r="H179" i="66"/>
  <c r="G180" i="66"/>
  <c r="D180" i="66"/>
  <c r="C181" i="66"/>
  <c r="N80" i="20"/>
  <c r="B34" i="1"/>
  <c r="E81" i="20"/>
  <c r="G81" i="20" s="1"/>
  <c r="G37" i="37"/>
  <c r="J37" i="37" s="1"/>
  <c r="Z114" i="23"/>
  <c r="AA114" i="23"/>
  <c r="AA12" i="23" s="1"/>
  <c r="D17" i="1" s="1"/>
  <c r="AB114" i="23"/>
  <c r="AB12" i="23" s="1"/>
  <c r="D18" i="1" s="1"/>
  <c r="AK114" i="23"/>
  <c r="AK12" i="23" s="1"/>
  <c r="E18" i="1" s="1"/>
  <c r="AU114" i="23"/>
  <c r="AU12" i="23" s="1"/>
  <c r="F20" i="1" s="1"/>
  <c r="T114" i="23"/>
  <c r="T12" i="23" s="1"/>
  <c r="C20" i="1" s="1"/>
  <c r="AI114" i="23"/>
  <c r="AL114" i="23"/>
  <c r="AL12" i="23" s="1"/>
  <c r="E20" i="1" s="1"/>
  <c r="AC114" i="23"/>
  <c r="AC12" i="23" s="1"/>
  <c r="D20" i="1" s="1"/>
  <c r="AJ114" i="23"/>
  <c r="AJ12" i="23" s="1"/>
  <c r="E17" i="1" s="1"/>
  <c r="AS114" i="23"/>
  <c r="AS12" i="23" s="1"/>
  <c r="F17" i="1" s="1"/>
  <c r="AT114" i="23"/>
  <c r="AT12" i="23" s="1"/>
  <c r="F18" i="1" s="1"/>
  <c r="Q114" i="23"/>
  <c r="J114" i="23"/>
  <c r="J12" i="23" s="1"/>
  <c r="B18" i="1" s="1"/>
  <c r="R114" i="23"/>
  <c r="R12" i="23" s="1"/>
  <c r="C17" i="1" s="1"/>
  <c r="I114" i="23"/>
  <c r="I12" i="23" s="1"/>
  <c r="B17" i="1" s="1"/>
  <c r="S114" i="23"/>
  <c r="S12" i="23" s="1"/>
  <c r="C18" i="1" s="1"/>
  <c r="AR114" i="23"/>
  <c r="H114" i="23"/>
  <c r="K114" i="23"/>
  <c r="K12" i="23" s="1"/>
  <c r="B20" i="1" s="1"/>
  <c r="C182" i="66" l="1"/>
  <c r="D181" i="66"/>
  <c r="G181" i="66"/>
  <c r="H180" i="66"/>
  <c r="C37" i="1"/>
  <c r="D37" i="1"/>
  <c r="E37" i="1"/>
  <c r="F37" i="1"/>
  <c r="F81" i="20"/>
  <c r="L37" i="37"/>
  <c r="H12" i="23"/>
  <c r="AR12" i="23"/>
  <c r="Q12" i="23"/>
  <c r="Z12" i="23"/>
  <c r="AI12" i="23"/>
  <c r="H81" i="20" l="1"/>
  <c r="I81" i="20"/>
  <c r="H181" i="66"/>
  <c r="G182" i="66"/>
  <c r="D182" i="66"/>
  <c r="C183" i="66"/>
  <c r="N81" i="20"/>
  <c r="E82" i="20"/>
  <c r="G82" i="20" s="1"/>
  <c r="E16" i="1"/>
  <c r="T8" i="23"/>
  <c r="C16" i="1"/>
  <c r="P8" i="23"/>
  <c r="N8" i="23"/>
  <c r="B16" i="1"/>
  <c r="D16" i="1"/>
  <c r="R8" i="23"/>
  <c r="F16" i="1"/>
  <c r="D183" i="66" l="1"/>
  <c r="C184" i="66"/>
  <c r="G183" i="66"/>
  <c r="H182" i="66"/>
  <c r="F82" i="20"/>
  <c r="F19" i="1"/>
  <c r="D19" i="1"/>
  <c r="D21" i="1" s="1"/>
  <c r="B19" i="1"/>
  <c r="B21" i="1" s="1"/>
  <c r="C19" i="1"/>
  <c r="E19" i="1"/>
  <c r="H82" i="20" l="1"/>
  <c r="I82" i="20"/>
  <c r="N82" i="20" s="1"/>
  <c r="H183" i="66"/>
  <c r="G184" i="66"/>
  <c r="C185" i="66"/>
  <c r="D184" i="66"/>
  <c r="E83" i="20"/>
  <c r="G83" i="20" s="1"/>
  <c r="F21" i="1"/>
  <c r="C21" i="1"/>
  <c r="E21" i="1"/>
  <c r="D185" i="66" l="1"/>
  <c r="C186" i="66"/>
  <c r="G185" i="66"/>
  <c r="H184" i="66"/>
  <c r="D41" i="1"/>
  <c r="D42" i="1"/>
  <c r="D40" i="1"/>
  <c r="C41" i="1"/>
  <c r="C40" i="1"/>
  <c r="F40" i="1"/>
  <c r="F41" i="1"/>
  <c r="E41" i="1"/>
  <c r="E44" i="1" s="1"/>
  <c r="E42" i="1"/>
  <c r="E40" i="1"/>
  <c r="F42" i="1"/>
  <c r="F83" i="20"/>
  <c r="H83" i="20" l="1"/>
  <c r="I83" i="20"/>
  <c r="N83" i="20" s="1"/>
  <c r="H185" i="66"/>
  <c r="G186" i="66"/>
  <c r="C187" i="66"/>
  <c r="D186" i="66"/>
  <c r="E84" i="20"/>
  <c r="G84" i="20" s="1"/>
  <c r="F44" i="1"/>
  <c r="C44" i="1"/>
  <c r="D44" i="1"/>
  <c r="D187" i="66" l="1"/>
  <c r="C188" i="66"/>
  <c r="G187" i="66"/>
  <c r="H186" i="66"/>
  <c r="F84" i="20"/>
  <c r="H84" i="20" l="1"/>
  <c r="I84" i="20"/>
  <c r="G188" i="66"/>
  <c r="H187" i="66"/>
  <c r="C189" i="66"/>
  <c r="D188" i="66"/>
  <c r="N84" i="20"/>
  <c r="E85" i="20"/>
  <c r="G85" i="20" s="1"/>
  <c r="D189" i="66" l="1"/>
  <c r="C190" i="66"/>
  <c r="H188" i="66"/>
  <c r="G189" i="66"/>
  <c r="F85" i="20"/>
  <c r="H85" i="20" l="1"/>
  <c r="I85" i="20"/>
  <c r="G190" i="66"/>
  <c r="H189" i="66"/>
  <c r="C191" i="66"/>
  <c r="D190" i="66"/>
  <c r="N85" i="20"/>
  <c r="E86" i="20"/>
  <c r="G86" i="20" s="1"/>
  <c r="D191" i="66" l="1"/>
  <c r="C192" i="66"/>
  <c r="H190" i="66"/>
  <c r="G191" i="66"/>
  <c r="F86" i="20"/>
  <c r="H86" i="20" l="1"/>
  <c r="I86" i="20"/>
  <c r="G192" i="66"/>
  <c r="H191" i="66"/>
  <c r="C193" i="66"/>
  <c r="D192" i="66"/>
  <c r="N86" i="20"/>
  <c r="E87" i="20"/>
  <c r="G87" i="20" s="1"/>
  <c r="D193" i="66" l="1"/>
  <c r="C194" i="66"/>
  <c r="H192" i="66"/>
  <c r="G193" i="66"/>
  <c r="F87" i="20"/>
  <c r="H87" i="20" l="1"/>
  <c r="I87" i="20"/>
  <c r="G194" i="66"/>
  <c r="C195" i="66"/>
  <c r="H193" i="66"/>
  <c r="D194" i="66"/>
  <c r="N87" i="20"/>
  <c r="E88" i="20"/>
  <c r="G88" i="20" s="1"/>
  <c r="D195" i="66" l="1"/>
  <c r="H194" i="66"/>
  <c r="C196" i="66"/>
  <c r="G195" i="66"/>
  <c r="F88" i="20"/>
  <c r="H88" i="20" l="1"/>
  <c r="I88" i="20"/>
  <c r="N88" i="20" s="1"/>
  <c r="G196" i="66"/>
  <c r="C197" i="66"/>
  <c r="H195" i="66"/>
  <c r="D196" i="66"/>
  <c r="E89" i="20"/>
  <c r="G89" i="20" s="1"/>
  <c r="D197" i="66" l="1"/>
  <c r="C198" i="66"/>
  <c r="H196" i="66"/>
  <c r="G197" i="66"/>
  <c r="F89" i="20"/>
  <c r="H89" i="20" l="1"/>
  <c r="I89" i="20"/>
  <c r="G198" i="66"/>
  <c r="H197" i="66"/>
  <c r="C199" i="66"/>
  <c r="D198" i="66"/>
  <c r="N89" i="20"/>
  <c r="E90" i="20"/>
  <c r="G90" i="20" s="1"/>
  <c r="C200" i="66" l="1"/>
  <c r="D199" i="66"/>
  <c r="H198" i="66"/>
  <c r="G199" i="66"/>
  <c r="F90" i="20"/>
  <c r="H90" i="20" l="1"/>
  <c r="I90" i="20"/>
  <c r="H199" i="66"/>
  <c r="D200" i="66"/>
  <c r="G200" i="66"/>
  <c r="C201" i="66"/>
  <c r="N90" i="20"/>
  <c r="E91" i="20"/>
  <c r="G91" i="20" s="1"/>
  <c r="G201" i="66" l="1"/>
  <c r="D201" i="66"/>
  <c r="C202" i="66"/>
  <c r="H200" i="66"/>
  <c r="F91" i="20"/>
  <c r="H91" i="20" l="1"/>
  <c r="I91" i="20"/>
  <c r="H201" i="66"/>
  <c r="D202" i="66"/>
  <c r="C203" i="66"/>
  <c r="G202" i="66"/>
  <c r="N91" i="20"/>
  <c r="E92" i="20"/>
  <c r="G92" i="20" s="1"/>
  <c r="C204" i="66" l="1"/>
  <c r="D203" i="66"/>
  <c r="G203" i="66"/>
  <c r="H202" i="66"/>
  <c r="F92" i="20"/>
  <c r="H92" i="20" l="1"/>
  <c r="I92" i="20"/>
  <c r="D204" i="66"/>
  <c r="G204" i="66"/>
  <c r="H203" i="66"/>
  <c r="C205" i="66"/>
  <c r="N92" i="20"/>
  <c r="E93" i="20"/>
  <c r="G93" i="20" s="1"/>
  <c r="C206" i="66" l="1"/>
  <c r="G205" i="66"/>
  <c r="H204" i="66"/>
  <c r="D205" i="66"/>
  <c r="F93" i="20"/>
  <c r="H93" i="20" l="1"/>
  <c r="I93" i="20"/>
  <c r="G206" i="66"/>
  <c r="D206" i="66"/>
  <c r="H205" i="66"/>
  <c r="C207" i="66"/>
  <c r="N93" i="20"/>
  <c r="E94" i="20"/>
  <c r="G94" i="20" s="1"/>
  <c r="H206" i="66" l="1"/>
  <c r="C208" i="66"/>
  <c r="D207" i="66"/>
  <c r="G207" i="66"/>
  <c r="F94" i="20"/>
  <c r="H94" i="20" l="1"/>
  <c r="I94" i="20"/>
  <c r="D208" i="66"/>
  <c r="G208" i="66"/>
  <c r="C209" i="66"/>
  <c r="H207" i="66"/>
  <c r="N94" i="20"/>
  <c r="E95" i="20"/>
  <c r="G95" i="20" s="1"/>
  <c r="G209" i="66" l="1"/>
  <c r="C210" i="66"/>
  <c r="H208" i="66"/>
  <c r="D209" i="66"/>
  <c r="F95" i="20"/>
  <c r="H95" i="20" l="1"/>
  <c r="I95" i="20"/>
  <c r="D210" i="66"/>
  <c r="C211" i="66"/>
  <c r="H209" i="66"/>
  <c r="G210" i="66"/>
  <c r="N95" i="20"/>
  <c r="E96" i="20"/>
  <c r="G96" i="20" s="1"/>
  <c r="G211" i="66" l="1"/>
  <c r="H210" i="66"/>
  <c r="C212" i="66"/>
  <c r="D211" i="66"/>
  <c r="F96" i="20"/>
  <c r="I96" i="20" s="1"/>
  <c r="H96" i="20"/>
  <c r="E97" i="20"/>
  <c r="D212" i="66" l="1"/>
  <c r="C213" i="66"/>
  <c r="H211" i="66"/>
  <c r="G212" i="66"/>
  <c r="N96" i="20"/>
  <c r="G97" i="20"/>
  <c r="F97" i="20"/>
  <c r="I97" i="20" s="1"/>
  <c r="H212" i="66" l="1"/>
  <c r="G213" i="66"/>
  <c r="C214" i="66"/>
  <c r="D213" i="66"/>
  <c r="H97" i="20"/>
  <c r="E98" i="20"/>
  <c r="D214" i="66" l="1"/>
  <c r="C215" i="66"/>
  <c r="G214" i="66"/>
  <c r="H213" i="66"/>
  <c r="N97" i="20"/>
  <c r="G98" i="20"/>
  <c r="F98" i="20"/>
  <c r="I98" i="20" s="1"/>
  <c r="H214" i="66" l="1"/>
  <c r="G215" i="66"/>
  <c r="C216" i="66"/>
  <c r="D215" i="66"/>
  <c r="H98" i="20"/>
  <c r="E99" i="20"/>
  <c r="C217" i="66" l="1"/>
  <c r="D216" i="66"/>
  <c r="G216" i="66"/>
  <c r="H215" i="66"/>
  <c r="N98" i="20"/>
  <c r="G99" i="20"/>
  <c r="F99" i="20"/>
  <c r="I99" i="20" s="1"/>
  <c r="G217" i="66" l="1"/>
  <c r="H216" i="66"/>
  <c r="D217" i="66"/>
  <c r="C218" i="66"/>
  <c r="H99" i="20"/>
  <c r="E100" i="20"/>
  <c r="C219" i="66" l="1"/>
  <c r="H217" i="66"/>
  <c r="D218" i="66"/>
  <c r="G218" i="66"/>
  <c r="N99" i="20"/>
  <c r="G100" i="20"/>
  <c r="F100" i="20"/>
  <c r="I100" i="20" s="1"/>
  <c r="H218" i="66" l="1"/>
  <c r="D219" i="66"/>
  <c r="G219" i="66"/>
  <c r="C220" i="66"/>
  <c r="H100" i="20"/>
  <c r="E101" i="20"/>
  <c r="G101" i="20" s="1"/>
  <c r="C221" i="66" l="1"/>
  <c r="G220" i="66"/>
  <c r="D220" i="66"/>
  <c r="H219" i="66"/>
  <c r="N100" i="20"/>
  <c r="F101" i="20"/>
  <c r="I101" i="20" s="1"/>
  <c r="H220" i="66" l="1"/>
  <c r="G221" i="66"/>
  <c r="D221" i="66"/>
  <c r="C222" i="66"/>
  <c r="H101" i="20"/>
  <c r="E102" i="20"/>
  <c r="D222" i="66" l="1"/>
  <c r="C223" i="66"/>
  <c r="G222" i="66"/>
  <c r="H221" i="66"/>
  <c r="N101" i="20"/>
  <c r="G102" i="20"/>
  <c r="F102" i="20"/>
  <c r="I102" i="20" s="1"/>
  <c r="H222" i="66" l="1"/>
  <c r="G223" i="66"/>
  <c r="D223" i="66"/>
  <c r="H102" i="20"/>
  <c r="N102" i="20" s="1"/>
  <c r="E103" i="20"/>
  <c r="H223" i="66" l="1"/>
  <c r="G103" i="20"/>
  <c r="F103" i="20"/>
  <c r="I103" i="20" s="1"/>
  <c r="H103" i="20" l="1"/>
  <c r="N103" i="20" s="1"/>
  <c r="E104" i="20"/>
  <c r="G104" i="20" s="1"/>
  <c r="F104" i="20" l="1"/>
  <c r="F105" i="20" l="1"/>
  <c r="H104" i="20"/>
  <c r="N104" i="20" s="1"/>
  <c r="I104" i="20"/>
  <c r="E105" i="20"/>
  <c r="G105" i="20" s="1"/>
  <c r="H105" i="20" l="1"/>
  <c r="N105" i="20" s="1"/>
  <c r="I105" i="20"/>
  <c r="E106" i="20"/>
  <c r="G106" i="20" s="1"/>
  <c r="F106" i="20"/>
  <c r="H106" i="20" l="1"/>
  <c r="I106" i="20"/>
  <c r="E107" i="20"/>
  <c r="G107" i="20" s="1"/>
  <c r="N106" i="20" l="1"/>
  <c r="F107" i="20"/>
  <c r="H107" i="20" l="1"/>
  <c r="I107" i="20"/>
  <c r="E108" i="20"/>
  <c r="G108" i="20" s="1"/>
  <c r="N107" i="20" l="1"/>
  <c r="F108" i="20"/>
  <c r="H108" i="20" l="1"/>
  <c r="I108" i="20"/>
  <c r="E109" i="20"/>
  <c r="G109" i="20" s="1"/>
  <c r="N108" i="20" l="1"/>
  <c r="F109" i="20"/>
  <c r="H109" i="20" l="1"/>
  <c r="I109" i="20"/>
  <c r="E110" i="20"/>
  <c r="G110" i="20" s="1"/>
  <c r="N109" i="20" l="1"/>
  <c r="F110" i="20"/>
  <c r="H110" i="20" l="1"/>
  <c r="N110" i="20" s="1"/>
  <c r="I110" i="20"/>
  <c r="E111" i="20"/>
  <c r="G111" i="20" s="1"/>
  <c r="F111" i="20" l="1"/>
  <c r="H111" i="20" l="1"/>
  <c r="N111" i="20" s="1"/>
  <c r="I111" i="20"/>
  <c r="E112" i="20"/>
  <c r="G112" i="20" s="1"/>
  <c r="F112" i="20" l="1"/>
  <c r="H112" i="20" l="1"/>
  <c r="N112" i="20" s="1"/>
  <c r="I112" i="20"/>
  <c r="E113" i="20"/>
  <c r="G113" i="20" s="1"/>
  <c r="F113" i="20" l="1"/>
  <c r="H113" i="20" l="1"/>
  <c r="N113" i="20" s="1"/>
  <c r="I113" i="20"/>
  <c r="E114" i="20"/>
  <c r="G114" i="20" s="1"/>
  <c r="F114" i="20" l="1"/>
  <c r="H114" i="20" l="1"/>
  <c r="N114" i="20" s="1"/>
  <c r="I114" i="20"/>
  <c r="E115" i="20"/>
  <c r="G115" i="20" s="1"/>
  <c r="F115" i="20" l="1"/>
  <c r="H115" i="20" l="1"/>
  <c r="I115" i="20"/>
  <c r="E116" i="20"/>
  <c r="G116" i="20" s="1"/>
  <c r="N115" i="20" l="1"/>
  <c r="F116" i="20"/>
  <c r="H116" i="20" l="1"/>
  <c r="I116" i="20"/>
  <c r="E117" i="20"/>
  <c r="G117" i="20" s="1"/>
  <c r="N116" i="20" l="1"/>
  <c r="F117" i="20"/>
  <c r="H117" i="20" l="1"/>
  <c r="I117" i="20"/>
  <c r="E118" i="20"/>
  <c r="G118" i="20" s="1"/>
  <c r="N117" i="20" l="1"/>
  <c r="F118" i="20"/>
  <c r="H118" i="20" l="1"/>
  <c r="I118" i="20"/>
  <c r="E119" i="20"/>
  <c r="G119" i="20" l="1"/>
  <c r="N118" i="20"/>
  <c r="G121" i="20"/>
  <c r="F119" i="20"/>
  <c r="I119" i="20" s="1"/>
  <c r="H119" i="20" l="1"/>
  <c r="H121" i="20" l="1"/>
  <c r="N119" i="20"/>
  <c r="N17" i="20" s="1"/>
  <c r="N121" i="20"/>
  <c r="F43" i="1" l="1"/>
  <c r="E43" i="1"/>
  <c r="C43" i="1" l="1"/>
  <c r="D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teresa.fenn</author>
    <author>MAFF</author>
    <author>Teresa Fenn</author>
  </authors>
  <commentList>
    <comment ref="A3" authorId="0" shapeId="0" xr:uid="{00000000-0006-0000-0100-000001000000}">
      <text>
        <r>
          <rPr>
            <sz val="8"/>
            <color indexed="81"/>
            <rFont val="Tahoma"/>
            <family val="2"/>
          </rPr>
          <t>Insert name of client or authority here</t>
        </r>
      </text>
    </comment>
    <comment ref="A5" authorId="0" shapeId="0" xr:uid="{00000000-0006-0000-0100-000002000000}">
      <text>
        <r>
          <rPr>
            <sz val="8"/>
            <color indexed="81"/>
            <rFont val="Tahoma"/>
            <family val="2"/>
          </rPr>
          <t>Record the name of the project here</t>
        </r>
      </text>
    </comment>
    <comment ref="C6" authorId="0" shapeId="0" xr:uid="{00000000-0006-0000-0100-000003000000}">
      <text>
        <r>
          <rPr>
            <sz val="8"/>
            <color indexed="81"/>
            <rFont val="Tahoma"/>
            <family val="2"/>
          </rPr>
          <t>Insert your project reference number/name here</t>
        </r>
      </text>
    </comment>
    <comment ref="C7" authorId="0" shapeId="0" xr:uid="{00000000-0006-0000-0100-000004000000}">
      <text>
        <r>
          <rPr>
            <sz val="8"/>
            <color indexed="81"/>
            <rFont val="Tahoma"/>
            <family val="2"/>
          </rPr>
          <t>Write the base date for the appraisal here.  Make sure the same base date is used for all the costs , damages and benefits</t>
        </r>
      </text>
    </comment>
    <comment ref="C8" authorId="0" shapeId="0" xr:uid="{00000000-0006-0000-0100-000005000000}">
      <text>
        <r>
          <rPr>
            <sz val="8"/>
            <color indexed="81"/>
            <rFont val="Tahoma"/>
            <family val="2"/>
          </rPr>
          <t>For presentation, choose a scaling factor if that will help (make sure all entry data use the same scaling factor!)</t>
        </r>
      </text>
    </comment>
    <comment ref="C9" authorId="1" shapeId="0" xr:uid="{00000000-0006-0000-0100-00000C000000}">
      <text>
        <r>
          <rPr>
            <b/>
            <sz val="8"/>
            <color indexed="81"/>
            <rFont val="Tahoma"/>
            <family val="2"/>
          </rPr>
          <t xml:space="preserve">OPTIMISM BIAS:
</t>
        </r>
        <r>
          <rPr>
            <b/>
            <u/>
            <sz val="8"/>
            <color indexed="81"/>
            <rFont val="Tahoma"/>
            <family val="2"/>
          </rPr>
          <t>Strategies/feasibility:</t>
        </r>
        <r>
          <rPr>
            <b/>
            <sz val="8"/>
            <color indexed="81"/>
            <rFont val="Tahoma"/>
            <family val="2"/>
          </rPr>
          <t xml:space="preserve"> 
</t>
        </r>
        <r>
          <rPr>
            <b/>
            <sz val="8"/>
            <color indexed="81"/>
            <rFont val="Tahoma"/>
            <family val="2"/>
          </rPr>
          <t xml:space="preserve">Default 60%
</t>
        </r>
        <r>
          <rPr>
            <b/>
            <sz val="4"/>
            <color indexed="81"/>
            <rFont val="Tahoma"/>
            <family val="2"/>
          </rPr>
          <t xml:space="preserve">
</t>
        </r>
        <r>
          <rPr>
            <b/>
            <u/>
            <sz val="8"/>
            <color indexed="81"/>
            <rFont val="Tahoma"/>
            <family val="2"/>
          </rPr>
          <t>Detailed design:</t>
        </r>
        <r>
          <rPr>
            <b/>
            <sz val="8"/>
            <color indexed="81"/>
            <rFont val="Tahoma"/>
            <family val="2"/>
          </rPr>
          <t xml:space="preserve"> 
Default 30% OR 
95% confidence interval for project risk assessments</t>
        </r>
      </text>
    </comment>
    <comment ref="A16" authorId="0" shapeId="0" xr:uid="{00000000-0006-0000-0100-00000D000000}">
      <text>
        <r>
          <rPr>
            <sz val="8"/>
            <color indexed="81"/>
            <rFont val="Tahoma"/>
            <family val="2"/>
          </rPr>
          <t>Taken from the PC costs worksheet</t>
        </r>
      </text>
    </comment>
    <comment ref="A17" authorId="0" shapeId="0" xr:uid="{00000000-0006-0000-0100-00000E000000}">
      <text>
        <r>
          <rPr>
            <sz val="8"/>
            <color indexed="81"/>
            <rFont val="Tahoma"/>
            <family val="2"/>
          </rPr>
          <t>Taken from the PC costs worksheet</t>
        </r>
      </text>
    </comment>
    <comment ref="A18" authorId="0" shapeId="0" xr:uid="{00000000-0006-0000-0100-00000F000000}">
      <text>
        <r>
          <rPr>
            <sz val="8"/>
            <color indexed="81"/>
            <rFont val="Tahoma"/>
            <family val="2"/>
          </rPr>
          <t>Taken from the PC costs worksheet</t>
        </r>
      </text>
    </comment>
    <comment ref="A19" authorId="0" shapeId="0" xr:uid="{00000000-0006-0000-0100-000010000000}">
      <text>
        <r>
          <rPr>
            <sz val="8"/>
            <color indexed="81"/>
            <rFont val="Tahoma"/>
            <family val="2"/>
          </rPr>
          <t>Calculated as % shown in cell C11 for total of capital, maintenance and other costs</t>
        </r>
      </text>
    </comment>
    <comment ref="A20" authorId="0" shapeId="0" xr:uid="{00000000-0006-0000-0100-000011000000}">
      <text>
        <r>
          <rPr>
            <sz val="8"/>
            <color indexed="81"/>
            <rFont val="Tahoma"/>
            <family val="2"/>
          </rPr>
          <t>Taken from the PC costs worksheet</t>
        </r>
        <r>
          <rPr>
            <sz val="8"/>
            <color indexed="81"/>
            <rFont val="Tahoma"/>
            <family val="2"/>
          </rPr>
          <t xml:space="preserve">
</t>
        </r>
      </text>
    </comment>
    <comment ref="C37" authorId="2" shapeId="0" xr:uid="{00000000-0006-0000-0100-000014000000}">
      <text>
        <r>
          <rPr>
            <sz val="8"/>
            <color indexed="81"/>
            <rFont val="Tahoma"/>
            <family val="2"/>
          </rPr>
          <t>Total of PV damage avoided and benefits which were directly measured as a benefit</t>
        </r>
      </text>
    </comment>
    <comment ref="A40" authorId="0" shapeId="0" xr:uid="{00000000-0006-0000-0100-000015000000}">
      <text>
        <r>
          <rPr>
            <sz val="8"/>
            <color indexed="81"/>
            <rFont val="Tahoma"/>
            <family val="2"/>
          </rPr>
          <t xml:space="preserve">PV benefits - PV costs
</t>
        </r>
      </text>
    </comment>
    <comment ref="A41" authorId="0" shapeId="0" xr:uid="{00000000-0006-0000-0100-000016000000}">
      <text>
        <r>
          <rPr>
            <sz val="8"/>
            <color indexed="81"/>
            <rFont val="Tahoma"/>
            <family val="2"/>
          </rPr>
          <t>PV benefits ÷ PC costs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teresa.fenn</author>
    <author>Simmonds, Carolann J</author>
  </authors>
  <commentList>
    <comment ref="I7" authorId="0" shapeId="0" xr:uid="{00000000-0006-0000-0200-000001000000}">
      <text>
        <r>
          <rPr>
            <sz val="8"/>
            <color indexed="81"/>
            <rFont val="Tahoma"/>
            <family val="2"/>
          </rPr>
          <t xml:space="preserve">Year in which damages begin
</t>
        </r>
      </text>
    </comment>
    <comment ref="I8" authorId="0" shapeId="0" xr:uid="{00000000-0006-0000-0200-000002000000}">
      <text>
        <r>
          <rPr>
            <sz val="8"/>
            <color indexed="81"/>
            <rFont val="Tahoma"/>
            <family val="2"/>
          </rPr>
          <t>Year in which damages end.  This is 99 if the appraisal period is 100 years.  It may be less where you are taking account of future risks (e.g. you can use these sheets to measure impacts on intermediate years)</t>
        </r>
      </text>
    </comment>
    <comment ref="I9" authorId="0" shapeId="0" xr:uid="{00000000-0006-0000-0200-000003000000}">
      <text>
        <r>
          <rPr>
            <sz val="8"/>
            <color indexed="81"/>
            <rFont val="Tahoma"/>
            <family val="2"/>
          </rPr>
          <t xml:space="preserve">This is the sum of the discount factors between the first year of damages and last year of period.  It is used to estimate the PV damages in cell G29
</t>
        </r>
      </text>
    </comment>
    <comment ref="C13" authorId="1" shapeId="0" xr:uid="{209740CD-DE62-4491-9301-B609B2B4CBCB}">
      <text>
        <r>
          <rPr>
            <sz val="9"/>
            <color indexed="81"/>
            <rFont val="Tahoma"/>
            <family val="2"/>
          </rPr>
          <t>Damages assumed to be zero at events equal to and more frequent than this. Decide carefully what probability this should be.</t>
        </r>
      </text>
    </comment>
    <comment ref="C26" authorId="0" shapeId="0" xr:uid="{00000000-0006-0000-0200-000006000000}">
      <text>
        <r>
          <rPr>
            <sz val="8"/>
            <color indexed="81"/>
            <rFont val="Tahoma"/>
            <family val="2"/>
          </rPr>
          <t>Calculated as 10.7% of residential property damages for dispersed flood incidents, 5.6% for concentrated settlements</t>
        </r>
      </text>
    </comment>
    <comment ref="G36" authorId="1" shapeId="0" xr:uid="{26BEF0F3-C32C-4A46-A916-D0BB7B26076B}">
      <text>
        <r>
          <rPr>
            <sz val="9"/>
            <color indexed="81"/>
            <rFont val="Tahoma"/>
            <family val="2"/>
          </rPr>
          <t>These AADs should be combined with other epochs and discounted to generate a Present Value</t>
        </r>
      </text>
    </comment>
    <comment ref="J37" authorId="1" shapeId="0" xr:uid="{A970A51B-92EC-46CA-B7FB-FF1476CB85CF}">
      <text>
        <r>
          <rPr>
            <sz val="9"/>
            <color indexed="81"/>
            <rFont val="Tahoma"/>
            <family val="2"/>
          </rPr>
          <t>This is the PV damage assuming the rate of damage remains unchanged (i.e. no climate change)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Teresa Fenn</author>
    <author>teresa.fenn</author>
    <author>Simmonds, Carolann J</author>
  </authors>
  <commentList>
    <comment ref="I10" authorId="0" shapeId="0" xr:uid="{00000000-0006-0000-0400-000004000000}">
      <text>
        <r>
          <rPr>
            <sz val="8"/>
            <color indexed="81"/>
            <rFont val="Tahoma"/>
            <family val="2"/>
          </rPr>
          <t>Total value of written off properties or other one-off losses in year of the breach</t>
        </r>
      </text>
    </comment>
    <comment ref="I12" authorId="0" shapeId="0" xr:uid="{00000000-0006-0000-0400-000008000000}">
      <text>
        <r>
          <rPr>
            <sz val="8"/>
            <color indexed="81"/>
            <rFont val="Tahoma"/>
            <family val="2"/>
          </rPr>
          <t>Repeating annual average damages, e.g.from cell G35 and H35 of Summary AAD sheet</t>
        </r>
      </text>
    </comment>
    <comment ref="C13" authorId="1" shapeId="0" xr:uid="{00000000-0006-0000-0400-000005000000}">
      <text>
        <r>
          <rPr>
            <sz val="8"/>
            <color indexed="81"/>
            <rFont val="Tahoma"/>
            <family val="2"/>
          </rPr>
          <t xml:space="preserve">Change this year to reflect events, e.g. failure of defences </t>
        </r>
      </text>
    </comment>
    <comment ref="B14" authorId="0" shapeId="0" xr:uid="{00000000-0006-0000-0400-000006000000}">
      <text>
        <r>
          <rPr>
            <sz val="8"/>
            <color indexed="81"/>
            <rFont val="Tahoma"/>
            <family val="2"/>
          </rPr>
          <t>Estimated current probability of breaching.  For example, 0.1 is 1:10</t>
        </r>
      </text>
    </comment>
    <comment ref="C14" authorId="0" shapeId="0" xr:uid="{00000000-0006-0000-0400-000007000000}">
      <text>
        <r>
          <rPr>
            <sz val="8"/>
            <color indexed="81"/>
            <rFont val="Tahoma"/>
            <family val="2"/>
          </rPr>
          <t>If defences have an expected life of 10 years, it can be assumed that they will breach in year 10.  Note though that the calculations below estimate probability of breaching in any one year.  Column D shows the probability of breaching in any one year.  This is greatest (0.204) in year 2.</t>
        </r>
        <r>
          <rPr>
            <sz val="8"/>
            <color indexed="81"/>
            <rFont val="Tahoma"/>
            <family val="2"/>
          </rPr>
          <t xml:space="preserve">
</t>
        </r>
      </text>
    </comment>
    <comment ref="I14" authorId="2" shapeId="0" xr:uid="{D3EF9FE0-FB39-403F-B9BE-0A20C63AA533}">
      <text>
        <r>
          <rPr>
            <sz val="9"/>
            <color indexed="81"/>
            <rFont val="Tahoma"/>
            <family val="2"/>
          </rPr>
          <t>Unlikley to need the later epochs of pre breach</t>
        </r>
      </text>
    </comment>
    <comment ref="G20" authorId="0" shapeId="0" xr:uid="{00000000-0006-0000-0400-000009000000}">
      <text>
        <r>
          <rPr>
            <sz val="8"/>
            <color indexed="81"/>
            <rFont val="Tahoma"/>
            <family val="2"/>
          </rPr>
          <t xml:space="preserve">Estimated one-off damages due to occur in the same year as the breach or failure.  Not suitable for repeat damages unless the probabilities are reset.
</t>
        </r>
      </text>
    </comment>
    <comment ref="H20" authorId="0" shapeId="0" xr:uid="{00000000-0006-0000-0400-00000A000000}">
      <text>
        <r>
          <rPr>
            <sz val="8"/>
            <color indexed="81"/>
            <rFont val="Tahoma"/>
            <family val="2"/>
          </rPr>
          <t xml:space="preserve">Damages due to overtopping, based on regular repeat damages up to the point in time when the step change in risk occurs e.g. due to a breach. Average Annual Damages calculated in Summary AAD. Where AADs vary over time, use the different epoch cells above and link to the appropriate cells below. </t>
        </r>
      </text>
    </comment>
    <comment ref="I20" authorId="1" shapeId="0" xr:uid="{00000000-0006-0000-0400-00000B000000}">
      <text>
        <r>
          <rPr>
            <sz val="8"/>
            <color indexed="81"/>
            <rFont val="Tahoma"/>
            <family val="2"/>
          </rPr>
          <t xml:space="preserve">Damages due to overtopping, based on regular repeat damages up to the point in time when the step change in risk occurs e.g. due to a breach. Average Annual Damages calculated in Summary AAD. Where AADs vary over time, use the different epoch cells above and link to the appropriate cells below. </t>
        </r>
      </text>
    </comment>
    <comment ref="J20" authorId="1" shapeId="0" xr:uid="{D5EFD2D0-9EAB-48AB-8990-A34CE9EAB353}">
      <text>
        <r>
          <rPr>
            <sz val="8"/>
            <color indexed="81"/>
            <rFont val="Tahoma"/>
            <family val="2"/>
          </rPr>
          <t>When entering damages in these cells, remember they are yet to be multiplied by the appropriate discount factor (column B or C)  in to give PV damages in column N</t>
        </r>
      </text>
    </comment>
    <comment ref="K20" authorId="1" shapeId="0" xr:uid="{00000000-0006-0000-0400-00000C000000}">
      <text>
        <r>
          <rPr>
            <sz val="8"/>
            <color indexed="81"/>
            <rFont val="Tahoma"/>
            <family val="2"/>
          </rPr>
          <t>When entering damages in these cells, remember they are yet to be multiplied by the appropriate discount factor (column B or C)  in to give PV damages in column N</t>
        </r>
      </text>
    </comment>
    <comment ref="L20" authorId="1" shapeId="0" xr:uid="{00000000-0006-0000-0400-00000D000000}">
      <text>
        <r>
          <rPr>
            <sz val="8"/>
            <color indexed="81"/>
            <rFont val="Tahoma"/>
            <family val="2"/>
          </rPr>
          <t>When entering damages in these cells, remember they are yet to be multiplied by the appropriate discount factor (column B or C)  in to give PV damages in column N</t>
        </r>
      </text>
    </comment>
    <comment ref="N20" authorId="1" shapeId="0" xr:uid="{00000000-0006-0000-0400-00000E000000}">
      <text>
        <r>
          <rPr>
            <sz val="8"/>
            <color indexed="81"/>
            <rFont val="Tahoma"/>
            <family val="2"/>
          </rPr>
          <t>Sums damages across columns F, G, H, I, J and K, then multiplies by the standard discount factor to calculate a Present Value, plus the health damages multiplied by the health discount rate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Teresa Fenn</author>
    <author>teresa.fenn</author>
  </authors>
  <commentList>
    <comment ref="G5" authorId="0" shapeId="0" xr:uid="{00000000-0006-0000-0B00-000001000000}">
      <text>
        <r>
          <rPr>
            <sz val="8"/>
            <color indexed="81"/>
            <rFont val="Tahoma"/>
            <family val="2"/>
          </rPr>
          <t>Delay is additional time gained by doing something.  If erosion would begin in year 5 under do-nothing and maintain would prevent erosion for 20 years, you should enter 25 here (5+20)</t>
        </r>
        <r>
          <rPr>
            <sz val="8"/>
            <color indexed="81"/>
            <rFont val="Tahoma"/>
            <family val="2"/>
          </rPr>
          <t xml:space="preserve">
</t>
        </r>
      </text>
    </comment>
    <comment ref="C12" authorId="1" shapeId="0" xr:uid="{00000000-0006-0000-0B00-000002000000}">
      <text>
        <r>
          <rPr>
            <sz val="8"/>
            <color indexed="81"/>
            <rFont val="Tahoma"/>
            <family val="2"/>
          </rPr>
          <t>Enter the risk-free market value of the property or asset here</t>
        </r>
      </text>
    </comment>
    <comment ref="D12" authorId="1" shapeId="0" xr:uid="{00000000-0006-0000-0B00-000003000000}">
      <text>
        <r>
          <rPr>
            <sz val="8"/>
            <color indexed="81"/>
            <rFont val="Tahoma"/>
            <family val="2"/>
          </rPr>
          <t>Enter the year when the asset is predicted to be eroded (take account of saefty margins)</t>
        </r>
      </text>
    </comment>
    <comment ref="E12" authorId="1" shapeId="0" xr:uid="{00000000-0006-0000-0B00-000004000000}">
      <text>
        <r>
          <rPr>
            <sz val="8"/>
            <color indexed="81"/>
            <rFont val="Tahoma"/>
            <family val="2"/>
          </rPr>
          <t>Enter the probability that the asset is lost in that year</t>
        </r>
      </text>
    </comment>
    <comment ref="F64" authorId="1" shapeId="0" xr:uid="{00000000-0006-0000-0B00-000005000000}">
      <text>
        <r>
          <rPr>
            <sz val="8"/>
            <color indexed="81"/>
            <rFont val="Tahoma"/>
            <family val="2"/>
          </rPr>
          <t>This is the total PV erosion damages under do-nothing.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Teresa Fenn</author>
  </authors>
  <commentList>
    <comment ref="N8" authorId="0" shapeId="0" xr:uid="{00000000-0006-0000-0C00-000001000000}">
      <text>
        <r>
          <rPr>
            <sz val="8"/>
            <color indexed="81"/>
            <rFont val="Tahoma"/>
            <family val="2"/>
          </rPr>
          <t xml:space="preserve">Total costs (in PV terms) for each option is presented in this row - they are pasted from the TOTALS:  PV cells below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Teresa Fenn</author>
  </authors>
  <commentList>
    <comment ref="O8" authorId="0" shapeId="0" xr:uid="{CC7B4A35-C62B-4C0A-9215-4425F3394524}">
      <text>
        <r>
          <rPr>
            <sz val="8"/>
            <color indexed="81"/>
            <rFont val="Tahoma"/>
            <family val="2"/>
          </rPr>
          <t xml:space="preserve">Total costs (in PV terms) for each option is presented in this row - they are pasted from the TOTALS:  PV cells below
</t>
        </r>
      </text>
    </comment>
  </commentList>
</comments>
</file>

<file path=xl/sharedStrings.xml><?xml version="1.0" encoding="utf-8"?>
<sst xmlns="http://schemas.openxmlformats.org/spreadsheetml/2006/main" count="424" uniqueCount="217">
  <si>
    <t>Supporting spreadsheet to the economic appraisal for an FCERM project</t>
  </si>
  <si>
    <t>Introduction</t>
  </si>
  <si>
    <t>This spreadsheet provides example tables and methods for undertaking principle calculations required for your FCERM economic appraisal.</t>
  </si>
  <si>
    <t>No attempt has been made to show a complete set of data flowing through the tabs.</t>
  </si>
  <si>
    <t xml:space="preserve">You should enter your own project data to enable the automatic calculation you need in your economic appraisal. </t>
  </si>
  <si>
    <t>Each tab and its function is described here with examples of when to use it.</t>
  </si>
  <si>
    <t>Summary</t>
  </si>
  <si>
    <t>This is an example summary table. It shows the breakdown of present value damages for a range of categories of damage. It converts damages to benefits and combines with costs to generate a benefit cost ratio and Net Present Value suitable for use when identifying the preferred option.  See FCERM Appraisal Guidance section 9 (costs), section 10 (damages and benefits), section 11 (preferred option).</t>
  </si>
  <si>
    <t>You can insert more columns if you need to add more options. You can insert more rows if you need to add more categories of damage.</t>
  </si>
  <si>
    <t xml:space="preserve">All options in this table must be compared over the same appraisal period, normally 100 years. See FCERM Appraisal Guidance section 5.6. </t>
  </si>
  <si>
    <t>Annual Average Damage</t>
  </si>
  <si>
    <t>This tab converts the damages from a range of different severity of event into an Average Annual Damage. See the FCERM Apprasial Guidance section 10.</t>
  </si>
  <si>
    <t>This is presented in a summary form with one line for each category of damage.</t>
  </si>
  <si>
    <t>This concept will need to be replicated to produce an average annual damage for each property if you need to test the effects of capping.</t>
  </si>
  <si>
    <t>The annual average damage is calculated by measuring the area unde the curve of damage against annual probability. The table automatically calculates this area.</t>
  </si>
  <si>
    <t>Categories of damage are presented in two sections - those with the standard discount rate, and those with the health discount rate.</t>
  </si>
  <si>
    <t>If it is not proportionate for the appraisal to include climate change, the Present Value damages can be taken from here to the summary table.</t>
  </si>
  <si>
    <t>If climate change is included, then annual average damages will need to be calculated for each epoch, for each option. These can then be converted into a stream of annual damages and discounted to a present value using the PV damages tab.</t>
  </si>
  <si>
    <t>Breach Damage Do -nothing</t>
  </si>
  <si>
    <t>This tab should be used to determine damages when there is a step change in the FCERM circumstanc for example, where a defence is likely to fail and once failed then the rate of damages is greatly increased. The table also allows for one off losses to occur in the year of the breach.</t>
  </si>
  <si>
    <t>Sensitivity testing on the residual life and current probability of failure can be easily done by changing these parameters.</t>
  </si>
  <si>
    <t>Erosion</t>
  </si>
  <si>
    <t>This tab provides a methodology for calculating erosion losses over time. Each asset can only be lost once. The probability of its loss can be spread across a number of time periods.</t>
  </si>
  <si>
    <t>Your options should be based on the duration of time for which erosion can be delayed.</t>
  </si>
  <si>
    <t>This table will work with losses predicted within 200 years.</t>
  </si>
  <si>
    <t>Present Value (PV) costs</t>
  </si>
  <si>
    <t xml:space="preserve">This tab allows the user to enter the costs associated with each of their FCERM options over the appraisal period. The tables automatically calculates the Present Value Cost.  See the FCERM Appraisal Guidance section 9. </t>
  </si>
  <si>
    <t>Note: future costs should not include inflation when calcualting PV Costs for the economic case.</t>
  </si>
  <si>
    <t>Present Value (PV) benefits</t>
  </si>
  <si>
    <t>This tab works the same way as the PV costs tab, but it contains both the standard and the health discount rate.</t>
  </si>
  <si>
    <t>This converts a stream of annual losses which may change over time into a Present Value using discounting.</t>
  </si>
  <si>
    <t>Key</t>
  </si>
  <si>
    <t>Key to cells in tabs</t>
  </si>
  <si>
    <t>Cells needing input</t>
  </si>
  <si>
    <t>Cells that automatically calculate</t>
  </si>
  <si>
    <t>Key assumptions that are fixed (such as the discount rates, or the start and end years for a 100 year appraisal period)</t>
  </si>
  <si>
    <t>Background and information (for example, headings)</t>
  </si>
  <si>
    <t>Version Control</t>
  </si>
  <si>
    <t xml:space="preserve">Version </t>
  </si>
  <si>
    <t>Change notes</t>
  </si>
  <si>
    <t>Released April 2022 - spreadsheet to support new FCERM Appraisal Guidance released in March 2022.</t>
  </si>
  <si>
    <t>Project Summary Sheet</t>
  </si>
  <si>
    <t>Client/Authority</t>
  </si>
  <si>
    <t>Prepared (date)</t>
  </si>
  <si>
    <t>Printed</t>
  </si>
  <si>
    <t>Project name</t>
  </si>
  <si>
    <t>Prepared by</t>
  </si>
  <si>
    <t>Checked by</t>
  </si>
  <si>
    <t>Project reference</t>
  </si>
  <si>
    <t>Checked date</t>
  </si>
  <si>
    <t>Base date for estimates (year 0)</t>
  </si>
  <si>
    <t>mmm-yyyy</t>
  </si>
  <si>
    <t>Scaling factor (e.g. £m, £k, £)</t>
  </si>
  <si>
    <t>£k</t>
  </si>
  <si>
    <t>(used for all costs, losses and benefits)</t>
  </si>
  <si>
    <t>Optimism bias adjustment factor</t>
  </si>
  <si>
    <t>Costs and benefits of options</t>
  </si>
  <si>
    <t>Option name</t>
  </si>
  <si>
    <t>AEP or SoP (where relevant) when built</t>
  </si>
  <si>
    <t>AEP or SoP at end of apprisal period</t>
  </si>
  <si>
    <t>COSTS:</t>
  </si>
  <si>
    <t>PV capital costs</t>
  </si>
  <si>
    <t>PV operation and maintenance costs</t>
  </si>
  <si>
    <t>PV other</t>
  </si>
  <si>
    <t>Optimism bias adjustment</t>
  </si>
  <si>
    <t>PV negative costs (e.g. sales)</t>
  </si>
  <si>
    <t>BENEFITS:</t>
  </si>
  <si>
    <t>PV damages Residential property</t>
  </si>
  <si>
    <t>PV damages Non-Residential property</t>
  </si>
  <si>
    <t>PV damages Mental Health</t>
  </si>
  <si>
    <t>PV damages Risk to Life</t>
  </si>
  <si>
    <t>PV damages Temporary Accommodation</t>
  </si>
  <si>
    <t>PV damages Emergency Services</t>
  </si>
  <si>
    <t>PV damages Environment</t>
  </si>
  <si>
    <t>PV damages Cars</t>
  </si>
  <si>
    <t>PV damages other</t>
  </si>
  <si>
    <t>PV damages Other</t>
  </si>
  <si>
    <t xml:space="preserve">PV Human Intangible stress and health benefits </t>
  </si>
  <si>
    <t>PV benefits where measured directly as a benefit</t>
  </si>
  <si>
    <t>DECISION-MAKING CRITERIA:</t>
  </si>
  <si>
    <r>
      <t xml:space="preserve">Net Present Value </t>
    </r>
    <r>
      <rPr>
        <b/>
        <sz val="10"/>
        <rFont val="Arial"/>
        <family val="2"/>
      </rPr>
      <t>NPV</t>
    </r>
  </si>
  <si>
    <r>
      <t xml:space="preserve">Average benefit/cost ratio </t>
    </r>
    <r>
      <rPr>
        <b/>
        <sz val="10"/>
        <rFont val="Arial"/>
        <family val="2"/>
      </rPr>
      <t>BCR</t>
    </r>
  </si>
  <si>
    <r>
      <t xml:space="preserve">Incremental benefit/cost ratio </t>
    </r>
    <r>
      <rPr>
        <b/>
        <sz val="10"/>
        <rFont val="Arial"/>
        <family val="2"/>
      </rPr>
      <t>IBCR</t>
    </r>
  </si>
  <si>
    <t>Check your ordering of options is in accordance with the FCERM-AG decision rule</t>
  </si>
  <si>
    <t>Brief description of options:</t>
  </si>
  <si>
    <t>Do Nothing</t>
  </si>
  <si>
    <t>Do Minimum</t>
  </si>
  <si>
    <t>Option 3</t>
  </si>
  <si>
    <t>Option 4</t>
  </si>
  <si>
    <t>Option 5</t>
  </si>
  <si>
    <t>Comments and assumptions:</t>
  </si>
  <si>
    <t xml:space="preserve">Annual Average Damage </t>
  </si>
  <si>
    <t>Sheet Nr.</t>
  </si>
  <si>
    <t xml:space="preserve">Option: </t>
  </si>
  <si>
    <t>First year of damage:</t>
  </si>
  <si>
    <t>Last year of period:</t>
  </si>
  <si>
    <t>PV factor standard rate:</t>
  </si>
  <si>
    <t>PV factor health rate:</t>
  </si>
  <si>
    <t>Applicable year (if time varying)</t>
  </si>
  <si>
    <t>Average waiting time (yrs) between events/frequency per year</t>
  </si>
  <si>
    <t>Total PV</t>
  </si>
  <si>
    <t>Infinity</t>
  </si>
  <si>
    <t>Damage category</t>
  </si>
  <si>
    <t>Standard Discount Rate</t>
  </si>
  <si>
    <t>Residential property</t>
  </si>
  <si>
    <t>Non-Residential property</t>
  </si>
  <si>
    <t>Temporary Accommodation</t>
  </si>
  <si>
    <t>Cars</t>
  </si>
  <si>
    <r>
      <t>Other (</t>
    </r>
    <r>
      <rPr>
        <i/>
        <sz val="10"/>
        <rFont val="Arial"/>
        <family val="2"/>
      </rPr>
      <t>Insert name</t>
    </r>
    <r>
      <rPr>
        <sz val="10"/>
        <rFont val="Arial"/>
        <family val="2"/>
      </rPr>
      <t>)</t>
    </r>
  </si>
  <si>
    <t>Health Discount Rate</t>
  </si>
  <si>
    <t>Mental Health</t>
  </si>
  <si>
    <t>Risk to Life</t>
  </si>
  <si>
    <t>Emergency services</t>
  </si>
  <si>
    <t>Other (Insert name)</t>
  </si>
  <si>
    <t>Total damage (standard rate)</t>
  </si>
  <si>
    <t>Area (damagexfrequency)</t>
  </si>
  <si>
    <t>Total damage (health rate)</t>
  </si>
  <si>
    <t>Standard</t>
  </si>
  <si>
    <t>Health</t>
  </si>
  <si>
    <t>Total area, as above</t>
  </si>
  <si>
    <t>Present value (assuming no change in damage or event frequency)</t>
  </si>
  <si>
    <t>Total</t>
  </si>
  <si>
    <t>Notes</t>
  </si>
  <si>
    <t>Area calculations assume drop to zero at maximum probability.</t>
  </si>
  <si>
    <t xml:space="preserve">Default value for the highest possible (infinity) damage assumes continuation of gradient for last two points, an alternative value can </t>
  </si>
  <si>
    <t>be entered, if appropriate.</t>
  </si>
  <si>
    <t>One form should be completed for each option, including 'without project', and for each representative year if profile changes</t>
  </si>
  <si>
    <t>during scheme life (e.g. sea-level rise)</t>
  </si>
  <si>
    <t>Frequency</t>
  </si>
  <si>
    <t>Damage</t>
  </si>
  <si>
    <t>Breach Damage Cost Calculation Sheet - Do Nothing (Linear)</t>
  </si>
  <si>
    <t>Damage in breach/failure</t>
  </si>
  <si>
    <t>Ave Annual Damage</t>
  </si>
  <si>
    <t>Pre-breach</t>
  </si>
  <si>
    <t>Post Breach</t>
  </si>
  <si>
    <t>&lt;</t>
  </si>
  <si>
    <t>&gt;</t>
  </si>
  <si>
    <t>Epoch 1 2022-2121</t>
  </si>
  <si>
    <t>Year</t>
  </si>
  <si>
    <r>
      <t xml:space="preserve">Epoch 2 </t>
    </r>
    <r>
      <rPr>
        <sz val="10"/>
        <rFont val="Arial"/>
        <family val="2"/>
      </rPr>
      <t>Set years</t>
    </r>
  </si>
  <si>
    <t>Breach pb</t>
  </si>
  <si>
    <r>
      <t xml:space="preserve">Epoch 3 </t>
    </r>
    <r>
      <rPr>
        <sz val="10"/>
        <rFont val="Arial"/>
        <family val="2"/>
      </rPr>
      <t>Set years</t>
    </r>
  </si>
  <si>
    <r>
      <t xml:space="preserve">Epoch 4 </t>
    </r>
    <r>
      <rPr>
        <sz val="10"/>
        <rFont val="Arial"/>
        <family val="2"/>
      </rPr>
      <t>Set years</t>
    </r>
  </si>
  <si>
    <t>Total PVd</t>
  </si>
  <si>
    <t>Prob of a</t>
  </si>
  <si>
    <t>Prob that breach/failure:</t>
  </si>
  <si>
    <t>Damage (cash) due to:</t>
  </si>
  <si>
    <t>Other damages (cash values)</t>
  </si>
  <si>
    <t>PV</t>
  </si>
  <si>
    <t>Discount factor</t>
  </si>
  <si>
    <t>breach/ failure</t>
  </si>
  <si>
    <t>occurs in year</t>
  </si>
  <si>
    <t>has not occurred</t>
  </si>
  <si>
    <t xml:space="preserve">breach or failure </t>
  </si>
  <si>
    <t>Pre - breach damage/yr</t>
  </si>
  <si>
    <t>Post - breach damage/yr</t>
  </si>
  <si>
    <t>Damages 1</t>
  </si>
  <si>
    <t>Damages 2</t>
  </si>
  <si>
    <t>Health Damages</t>
  </si>
  <si>
    <t>total damage</t>
  </si>
  <si>
    <t xml:space="preserve">Total </t>
  </si>
  <si>
    <t>Complete one spreadsheet for each option which has a step change in rate of damage, for example, a breach.</t>
  </si>
  <si>
    <t>The formulae assume that breach probability will be constant to the first year entered and after the last year with linear variation between</t>
  </si>
  <si>
    <t xml:space="preserve">It is assumed that breaches are not repaired and that once breach damage has occurred it will not recur.  </t>
  </si>
  <si>
    <t>A separate check should be made to ensure that overtopping damages do not exceed write off values.</t>
  </si>
  <si>
    <t>Remember to use the correct discount rate for the different sources of damage.</t>
  </si>
  <si>
    <t>If these assumptions are not valid then appropriate adjustments need to be made.  Total damage is calculated as:</t>
  </si>
  <si>
    <t>PV damage in year=disc factor*((prob no breach damage in year*annual overtop damage)+(prob breach damage in year*breach damage)+(prob of breach in that year * single one off damage))</t>
  </si>
  <si>
    <t>Erosion Loss Calculation Sheet with delay options</t>
  </si>
  <si>
    <t>Option:</t>
  </si>
  <si>
    <t>Delay (yrs)</t>
  </si>
  <si>
    <t>Discount rate</t>
  </si>
  <si>
    <t>Ref</t>
  </si>
  <si>
    <t>Asset</t>
  </si>
  <si>
    <t>Risk free market value</t>
  </si>
  <si>
    <t>Year when the asset is expected to be lost</t>
  </si>
  <si>
    <t>Prob of loss in year</t>
  </si>
  <si>
    <t>Description</t>
  </si>
  <si>
    <t>Totals</t>
  </si>
  <si>
    <t>Make one entry in the description column for each property (or group of properties) as this determines subsequent calculation</t>
  </si>
  <si>
    <t>MV = risk free market value at base date for estimate - must be entered on each line when probaility distribution is used</t>
  </si>
  <si>
    <t>Equivalent annual value = MV x discount rate (assumes infinite life)</t>
  </si>
  <si>
    <t>Year is year in which there is the probability of loss shown, years must be entered consecutively for each property or group</t>
  </si>
  <si>
    <t>If no distribution is used enter year of expected year of loss and enter 1.0 in probability column</t>
  </si>
  <si>
    <t>Columns G to K show expected values of asset losses with each option, assuming extensions of life entered above</t>
  </si>
  <si>
    <t>The loss is calculated using the formula PV loss = MV * Prob of loss * (1 - (1 - 1/((1+r)^(Year of loss))) = MV * Prob of loss / ((1+r)^(Year of loss))</t>
  </si>
  <si>
    <t>Additional properties can be entered by inserting lines above line 62 and copying all formulae</t>
  </si>
  <si>
    <t>Present Value Costs for all options</t>
  </si>
  <si>
    <t>PV total costs</t>
  </si>
  <si>
    <t>Initial discount rate</t>
  </si>
  <si>
    <t>TOTALS:</t>
  </si>
  <si>
    <t>Capital</t>
  </si>
  <si>
    <t>Maint.</t>
  </si>
  <si>
    <t>Other</t>
  </si>
  <si>
    <t>Negative costs</t>
  </si>
  <si>
    <t>Cash</t>
  </si>
  <si>
    <t>Maint</t>
  </si>
  <si>
    <t>cash sum</t>
  </si>
  <si>
    <t>Discount</t>
  </si>
  <si>
    <t>year</t>
  </si>
  <si>
    <t>Factor</t>
  </si>
  <si>
    <t>Present Value Damages or Benefits</t>
  </si>
  <si>
    <t>Use this sheet to apply discounting and interpolation to any source of damages or benefits</t>
  </si>
  <si>
    <t>Note: apply the correct discount rate for each source of damage</t>
  </si>
  <si>
    <t>Damage 1</t>
  </si>
  <si>
    <t>Damage 2</t>
  </si>
  <si>
    <t>Damage 3</t>
  </si>
  <si>
    <t>Life and Health Damage</t>
  </si>
  <si>
    <t>Standard Discount</t>
  </si>
  <si>
    <t>Health Discount</t>
  </si>
  <si>
    <t>Metadata</t>
  </si>
  <si>
    <t>Discount Rates</t>
  </si>
  <si>
    <t>Source: Green Book, HM Treasury 2020</t>
  </si>
  <si>
    <t>Ref: Table 6 - Declining Long Term Discoun Rate</t>
  </si>
  <si>
    <t>https://www.gov.uk/government/publications/the-green-book-appraisal-and-evaluation-in-central-governent/the-green-book-2020#valuation-of-costs-and-benefits</t>
  </si>
  <si>
    <t>Annual rate</t>
  </si>
  <si>
    <t>Cumulative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</si>
</sst>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00"/>
    <numFmt numFmtId="165" formatCode="0.0"/>
    <numFmt numFmtId="166" formatCode="0.0%"/>
    <numFmt numFmtId="167" formatCode="mmm\-yyyy"/>
    <numFmt numFmtId="168" formatCode="_-* #,##0_-;\-* #,##0_-;_-* &quot;-&quot;??_-;_-@_-"/>
    <numFmt numFmtId="169" formatCode="#,##0.0"/>
    <numFmt numFmtId="170" formatCode="#,##0_ ;\-#,##0\ "/>
    <numFmt numFmtId="171" formatCode="0.000%"/>
    <numFmt numFmtId="172" formatCode="0.0000"/>
  </numFmts>
  <fonts count="27">
    <font>
      <sz val="10"/>
      <name val="Arial"/>
    </font>
    <font>
      <b/>
      <sz val="10"/>
      <name val="Arial"/>
    </font>
    <font>
      <sz val="10"/>
      <name val="Arial"/>
      <family val="2"/>
    </font>
    <font>
      <b/>
      <sz val="12"/>
      <name val="Arial"/>
      <family val="2"/>
    </font>
    <font>
      <b/>
      <sz val="10"/>
      <name val="Arial"/>
      <family val="2"/>
    </font>
    <font>
      <b/>
      <sz val="11"/>
      <name val="Arial"/>
      <family val="2"/>
    </font>
    <font>
      <b/>
      <u/>
      <sz val="14"/>
      <name val="Arial"/>
      <family val="2"/>
    </font>
    <font>
      <sz val="8"/>
      <color indexed="81"/>
      <name val="Tahoma"/>
      <family val="2"/>
    </font>
    <font>
      <b/>
      <sz val="8"/>
      <color indexed="81"/>
      <name val="Tahoma"/>
      <family val="2"/>
    </font>
    <font>
      <b/>
      <u/>
      <sz val="8"/>
      <color indexed="81"/>
      <name val="Tahoma"/>
      <family val="2"/>
    </font>
    <font>
      <b/>
      <sz val="4"/>
      <color indexed="81"/>
      <name val="Tahoma"/>
      <family val="2"/>
    </font>
    <font>
      <sz val="8"/>
      <name val="Arial"/>
      <family val="2"/>
    </font>
    <font>
      <sz val="10"/>
      <color indexed="9"/>
      <name val="Arial"/>
      <family val="2"/>
    </font>
    <font>
      <u/>
      <sz val="9"/>
      <color indexed="12"/>
      <name val="Arial"/>
      <family val="2"/>
    </font>
    <font>
      <sz val="10"/>
      <color rgb="FFFF0000"/>
      <name val="Arial"/>
      <family val="2"/>
    </font>
    <font>
      <sz val="11"/>
      <color rgb="FFFF0000"/>
      <name val="Arial"/>
      <family val="2"/>
    </font>
    <font>
      <b/>
      <sz val="10"/>
      <color rgb="FFFF0000"/>
      <name val="Arial"/>
      <family val="2"/>
    </font>
    <font>
      <sz val="9"/>
      <color indexed="81"/>
      <name val="Tahoma"/>
      <family val="2"/>
    </font>
    <font>
      <b/>
      <sz val="14"/>
      <name val="Arial"/>
      <family val="2"/>
    </font>
    <font>
      <sz val="10"/>
      <color rgb="FFFF0000"/>
      <name val="Arial"/>
    </font>
    <font>
      <b/>
      <sz val="18"/>
      <color rgb="FF0B0C0C"/>
      <name val="Arial"/>
      <family val="2"/>
    </font>
    <font>
      <sz val="12"/>
      <name val="Arial"/>
      <family val="2"/>
    </font>
    <font>
      <sz val="12"/>
      <color rgb="FFFF0000"/>
      <name val="Arial"/>
      <family val="2"/>
    </font>
    <font>
      <sz val="18"/>
      <name val="Arial"/>
      <family val="2"/>
    </font>
    <font>
      <i/>
      <sz val="10"/>
      <name val="Arial"/>
      <family val="2"/>
    </font>
    <font>
      <b/>
      <sz val="18"/>
      <name val="Arial"/>
      <family val="2"/>
    </font>
    <font>
      <b/>
      <i/>
      <sz val="14"/>
      <name val="Arial"/>
      <family val="2"/>
    </font>
  </fonts>
  <fills count="12">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indexed="4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A0E0E0"/>
        <bgColor indexed="64"/>
      </patternFill>
    </fill>
    <fill>
      <patternFill patternType="solid">
        <fgColor theme="0"/>
        <bgColor indexed="64"/>
      </patternFill>
    </fill>
    <fill>
      <patternFill patternType="solid">
        <fgColor rgb="FFCC99FF"/>
        <bgColor indexed="64"/>
      </patternFill>
    </fill>
  </fills>
  <borders count="69">
    <border>
      <left/>
      <right/>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medium">
        <color indexed="64"/>
      </left>
      <right/>
      <top style="thin">
        <color indexed="64"/>
      </top>
      <bottom/>
      <diagonal/>
    </border>
    <border>
      <left/>
      <right/>
      <top/>
      <bottom style="thin">
        <color indexed="64"/>
      </bottom>
      <diagonal/>
    </border>
    <border>
      <left style="medium">
        <color indexed="64"/>
      </left>
      <right style="medium">
        <color indexed="64"/>
      </right>
      <top/>
      <bottom style="medium">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top style="medium">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diagonal/>
    </border>
    <border>
      <left style="hair">
        <color indexed="64"/>
      </left>
      <right/>
      <top style="medium">
        <color indexed="64"/>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medium">
        <color indexed="64"/>
      </bottom>
      <diagonal/>
    </border>
    <border>
      <left/>
      <right style="hair">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43" fontId="2" fillId="0" borderId="0" applyFont="0" applyFill="0" applyBorder="0" applyAlignment="0" applyProtection="0"/>
    <xf numFmtId="0" fontId="13" fillId="0" borderId="0" applyNumberFormat="0" applyFill="0" applyBorder="0" applyAlignment="0" applyProtection="0">
      <alignment vertical="top"/>
      <protection locked="0"/>
    </xf>
    <xf numFmtId="9" fontId="2" fillId="0" borderId="0" applyFont="0" applyFill="0" applyBorder="0" applyAlignment="0" applyProtection="0"/>
    <xf numFmtId="43" fontId="2" fillId="0" borderId="0" applyFont="0" applyFill="0" applyBorder="0" applyAlignment="0" applyProtection="0"/>
    <xf numFmtId="0" fontId="2" fillId="0" borderId="0"/>
  </cellStyleXfs>
  <cellXfs count="413">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1" fillId="2" borderId="1" xfId="0" applyFont="1" applyFill="1" applyBorder="1" applyAlignment="1">
      <alignment horizontal="right"/>
    </xf>
    <xf numFmtId="0" fontId="0" fillId="2" borderId="6" xfId="0" applyFill="1" applyBorder="1"/>
    <xf numFmtId="0" fontId="0" fillId="2" borderId="7" xfId="0" applyFill="1" applyBorder="1"/>
    <xf numFmtId="0" fontId="1" fillId="2" borderId="3" xfId="0" applyFont="1" applyFill="1" applyBorder="1"/>
    <xf numFmtId="0" fontId="1" fillId="2" borderId="4" xfId="0" applyFont="1" applyFill="1" applyBorder="1"/>
    <xf numFmtId="0" fontId="1" fillId="2" borderId="2" xfId="0" applyFont="1" applyFill="1" applyBorder="1"/>
    <xf numFmtId="0" fontId="0" fillId="2" borderId="8" xfId="0" applyFill="1" applyBorder="1"/>
    <xf numFmtId="0" fontId="0" fillId="2" borderId="0" xfId="0" applyFill="1" applyAlignment="1">
      <alignment horizontal="centerContinuous"/>
    </xf>
    <xf numFmtId="0" fontId="1" fillId="2" borderId="0" xfId="0" applyFont="1" applyFill="1"/>
    <xf numFmtId="0" fontId="1" fillId="2" borderId="5" xfId="0" applyFont="1" applyFill="1" applyBorder="1"/>
    <xf numFmtId="0" fontId="1" fillId="2" borderId="1" xfId="0" applyFont="1" applyFill="1" applyBorder="1"/>
    <xf numFmtId="0" fontId="1" fillId="2" borderId="1" xfId="0" applyFont="1" applyFill="1" applyBorder="1" applyAlignment="1">
      <alignment horizontal="center"/>
    </xf>
    <xf numFmtId="0" fontId="1" fillId="2" borderId="4" xfId="0" applyFont="1" applyFill="1" applyBorder="1" applyAlignment="1">
      <alignment horizontal="right" vertical="top" wrapText="1"/>
    </xf>
    <xf numFmtId="0" fontId="4" fillId="2" borderId="2" xfId="0" applyFont="1" applyFill="1" applyBorder="1"/>
    <xf numFmtId="0" fontId="4" fillId="2" borderId="3" xfId="0" applyFont="1" applyFill="1" applyBorder="1"/>
    <xf numFmtId="0" fontId="0" fillId="0" borderId="9" xfId="0" applyBorder="1"/>
    <xf numFmtId="0" fontId="4" fillId="2" borderId="1" xfId="0" applyFont="1" applyFill="1" applyBorder="1" applyAlignment="1">
      <alignment horizontal="centerContinuous"/>
    </xf>
    <xf numFmtId="0" fontId="0" fillId="2" borderId="0" xfId="0" applyFill="1" applyAlignment="1">
      <alignment horizontal="center"/>
    </xf>
    <xf numFmtId="0" fontId="1" fillId="2" borderId="0" xfId="0" applyFont="1" applyFill="1" applyAlignment="1">
      <alignment horizontal="right"/>
    </xf>
    <xf numFmtId="0" fontId="4" fillId="2" borderId="0" xfId="0" applyFont="1" applyFill="1"/>
    <xf numFmtId="2" fontId="0" fillId="3" borderId="10" xfId="0" applyNumberFormat="1" applyFill="1" applyBorder="1"/>
    <xf numFmtId="2" fontId="0" fillId="2" borderId="7" xfId="0" applyNumberFormat="1" applyFill="1" applyBorder="1"/>
    <xf numFmtId="0" fontId="0" fillId="0" borderId="11" xfId="0" applyBorder="1"/>
    <xf numFmtId="0" fontId="0" fillId="3" borderId="0" xfId="0" applyFill="1"/>
    <xf numFmtId="0" fontId="0" fillId="2" borderId="12" xfId="0" applyFill="1" applyBorder="1"/>
    <xf numFmtId="0" fontId="4" fillId="2" borderId="13" xfId="0" applyFont="1" applyFill="1" applyBorder="1" applyAlignment="1">
      <alignment horizontal="right"/>
    </xf>
    <xf numFmtId="0" fontId="4" fillId="2" borderId="14" xfId="0" applyFont="1" applyFill="1" applyBorder="1" applyAlignment="1">
      <alignment horizontal="right"/>
    </xf>
    <xf numFmtId="0" fontId="4" fillId="2" borderId="12" xfId="0" applyFont="1" applyFill="1" applyBorder="1" applyAlignment="1">
      <alignment horizontal="right"/>
    </xf>
    <xf numFmtId="0" fontId="4" fillId="2" borderId="5" xfId="0" applyFont="1" applyFill="1" applyBorder="1" applyAlignment="1">
      <alignment horizontal="right"/>
    </xf>
    <xf numFmtId="0" fontId="4" fillId="2" borderId="3" xfId="0" applyFont="1" applyFill="1" applyBorder="1" applyAlignment="1">
      <alignment horizontal="right"/>
    </xf>
    <xf numFmtId="2" fontId="0" fillId="2" borderId="8" xfId="0" applyNumberFormat="1" applyFill="1" applyBorder="1"/>
    <xf numFmtId="2" fontId="0" fillId="3" borderId="0" xfId="0" applyNumberFormat="1" applyFill="1"/>
    <xf numFmtId="0" fontId="4" fillId="2" borderId="4" xfId="0" applyFont="1" applyFill="1" applyBorder="1"/>
    <xf numFmtId="0" fontId="0" fillId="3" borderId="15" xfId="0" applyFill="1" applyBorder="1"/>
    <xf numFmtId="2" fontId="0" fillId="3" borderId="16" xfId="0" applyNumberFormat="1" applyFill="1" applyBorder="1"/>
    <xf numFmtId="0" fontId="0" fillId="0" borderId="17" xfId="0" applyBorder="1"/>
    <xf numFmtId="0" fontId="0" fillId="0" borderId="18" xfId="0" applyBorder="1"/>
    <xf numFmtId="2" fontId="0" fillId="3" borderId="19" xfId="0" applyNumberFormat="1" applyFill="1" applyBorder="1"/>
    <xf numFmtId="0" fontId="0" fillId="0" borderId="20" xfId="0" applyBorder="1"/>
    <xf numFmtId="0" fontId="0" fillId="0" borderId="21" xfId="0" applyBorder="1"/>
    <xf numFmtId="2" fontId="0" fillId="3" borderId="17" xfId="0" applyNumberFormat="1" applyFill="1" applyBorder="1"/>
    <xf numFmtId="2" fontId="0" fillId="3" borderId="11" xfId="0" applyNumberFormat="1" applyFill="1" applyBorder="1"/>
    <xf numFmtId="0" fontId="0" fillId="3" borderId="22" xfId="0" applyFill="1" applyBorder="1"/>
    <xf numFmtId="2" fontId="0" fillId="3" borderId="23" xfId="0" applyNumberFormat="1" applyFill="1" applyBorder="1"/>
    <xf numFmtId="2" fontId="0" fillId="2" borderId="2" xfId="0" applyNumberFormat="1" applyFill="1" applyBorder="1"/>
    <xf numFmtId="2" fontId="0" fillId="2" borderId="3" xfId="0" applyNumberFormat="1" applyFill="1" applyBorder="1"/>
    <xf numFmtId="1" fontId="0" fillId="4" borderId="0" xfId="0" applyNumberFormat="1" applyFill="1" applyAlignment="1">
      <alignment horizontal="center"/>
    </xf>
    <xf numFmtId="0" fontId="0" fillId="3" borderId="2" xfId="0" applyFill="1" applyBorder="1" applyAlignment="1">
      <alignment horizontal="center"/>
    </xf>
    <xf numFmtId="164" fontId="0" fillId="3" borderId="0" xfId="0" applyNumberFormat="1" applyFill="1"/>
    <xf numFmtId="0" fontId="0" fillId="2" borderId="2" xfId="0" applyFill="1" applyBorder="1" applyAlignment="1">
      <alignment horizontal="left"/>
    </xf>
    <xf numFmtId="0" fontId="3" fillId="2" borderId="2" xfId="0" applyFont="1" applyFill="1" applyBorder="1"/>
    <xf numFmtId="164" fontId="0" fillId="4" borderId="0" xfId="0" applyNumberFormat="1" applyFill="1" applyAlignment="1">
      <alignment horizontal="center"/>
    </xf>
    <xf numFmtId="0" fontId="0" fillId="3" borderId="0" xfId="0" applyFill="1" applyAlignment="1">
      <alignment horizontal="center"/>
    </xf>
    <xf numFmtId="0" fontId="1" fillId="2" borderId="4" xfId="0" applyFont="1" applyFill="1" applyBorder="1" applyAlignment="1">
      <alignment horizontal="center" vertical="top" wrapText="1"/>
    </xf>
    <xf numFmtId="9" fontId="1" fillId="2" borderId="0" xfId="0" applyNumberFormat="1" applyFont="1" applyFill="1" applyAlignment="1">
      <alignment horizontal="right"/>
    </xf>
    <xf numFmtId="0" fontId="6" fillId="2" borderId="1" xfId="0" applyFont="1" applyFill="1" applyBorder="1" applyAlignment="1">
      <alignment horizontal="centerContinuous"/>
    </xf>
    <xf numFmtId="0" fontId="0" fillId="0" borderId="0" xfId="0" applyAlignment="1">
      <alignment horizontal="center"/>
    </xf>
    <xf numFmtId="43" fontId="0" fillId="3" borderId="0" xfId="0" applyNumberFormat="1" applyFill="1" applyAlignment="1">
      <alignment horizontal="center"/>
    </xf>
    <xf numFmtId="0" fontId="1" fillId="2" borderId="6" xfId="0" applyFont="1" applyFill="1" applyBorder="1" applyAlignment="1">
      <alignment horizontal="center"/>
    </xf>
    <xf numFmtId="0" fontId="1" fillId="2" borderId="8" xfId="0" applyFont="1" applyFill="1" applyBorder="1" applyAlignment="1">
      <alignment horizontal="center" vertical="top" wrapText="1"/>
    </xf>
    <xf numFmtId="0" fontId="4" fillId="2" borderId="5" xfId="0" applyFont="1" applyFill="1" applyBorder="1"/>
    <xf numFmtId="0" fontId="0" fillId="0" borderId="1" xfId="0" applyBorder="1" applyAlignment="1">
      <alignment horizontal="center"/>
    </xf>
    <xf numFmtId="164" fontId="0" fillId="0" borderId="0" xfId="0" applyNumberFormat="1"/>
    <xf numFmtId="167" fontId="0" fillId="3" borderId="0" xfId="0" applyNumberFormat="1" applyFill="1" applyAlignment="1">
      <alignment horizontal="center"/>
    </xf>
    <xf numFmtId="14" fontId="0" fillId="3" borderId="7" xfId="0" applyNumberFormat="1" applyFill="1" applyBorder="1" applyAlignment="1">
      <alignment horizontal="center"/>
    </xf>
    <xf numFmtId="14" fontId="0" fillId="3" borderId="0" xfId="0" applyNumberFormat="1" applyFill="1" applyAlignment="1">
      <alignment horizontal="center"/>
    </xf>
    <xf numFmtId="0" fontId="4" fillId="2" borderId="26" xfId="0" applyFont="1" applyFill="1" applyBorder="1" applyAlignment="1">
      <alignment horizontal="center" vertical="top"/>
    </xf>
    <xf numFmtId="0" fontId="0" fillId="2" borderId="0" xfId="0" applyFill="1" applyAlignment="1">
      <alignment horizontal="right"/>
    </xf>
    <xf numFmtId="0" fontId="4" fillId="2" borderId="1" xfId="0" applyFont="1" applyFill="1" applyBorder="1"/>
    <xf numFmtId="2" fontId="0" fillId="2" borderId="0" xfId="0" applyNumberFormat="1" applyFill="1"/>
    <xf numFmtId="0" fontId="0" fillId="2" borderId="0" xfId="0" applyFill="1" applyAlignment="1">
      <alignment horizontal="left"/>
    </xf>
    <xf numFmtId="0" fontId="0" fillId="2" borderId="28" xfId="0" applyFill="1" applyBorder="1"/>
    <xf numFmtId="0" fontId="0" fillId="2" borderId="29" xfId="0" applyFill="1" applyBorder="1"/>
    <xf numFmtId="0" fontId="0" fillId="2" borderId="0" xfId="0" applyFill="1" applyAlignment="1">
      <alignment wrapText="1"/>
    </xf>
    <xf numFmtId="0" fontId="0" fillId="2" borderId="27" xfId="0" applyFill="1" applyBorder="1"/>
    <xf numFmtId="0" fontId="0" fillId="5" borderId="1" xfId="0" applyFill="1" applyBorder="1" applyAlignment="1">
      <alignment horizontal="center"/>
    </xf>
    <xf numFmtId="166" fontId="0" fillId="3" borderId="0" xfId="0" applyNumberFormat="1" applyFill="1" applyAlignment="1">
      <alignment horizontal="center"/>
    </xf>
    <xf numFmtId="0" fontId="1" fillId="2" borderId="0" xfId="0" applyFont="1" applyFill="1" applyAlignment="1">
      <alignment wrapText="1"/>
    </xf>
    <xf numFmtId="0" fontId="0" fillId="0" borderId="1" xfId="0" applyBorder="1"/>
    <xf numFmtId="0" fontId="0" fillId="4" borderId="0" xfId="0" applyFill="1"/>
    <xf numFmtId="0" fontId="0" fillId="2" borderId="30" xfId="0" applyFill="1" applyBorder="1" applyAlignment="1">
      <alignment horizontal="centerContinuous"/>
    </xf>
    <xf numFmtId="0" fontId="0" fillId="2" borderId="31" xfId="0" applyFill="1" applyBorder="1" applyAlignment="1">
      <alignment horizontal="right"/>
    </xf>
    <xf numFmtId="0" fontId="0" fillId="2" borderId="32" xfId="0" applyFill="1" applyBorder="1" applyAlignment="1">
      <alignment horizontal="right"/>
    </xf>
    <xf numFmtId="164" fontId="0" fillId="3" borderId="4" xfId="0" applyNumberFormat="1" applyFill="1" applyBorder="1"/>
    <xf numFmtId="0" fontId="0" fillId="3" borderId="4" xfId="0" applyFill="1" applyBorder="1"/>
    <xf numFmtId="0" fontId="0" fillId="2" borderId="33" xfId="0" applyFill="1" applyBorder="1"/>
    <xf numFmtId="0" fontId="0" fillId="2" borderId="2" xfId="0" applyFill="1" applyBorder="1" applyAlignment="1">
      <alignment horizontal="fill"/>
    </xf>
    <xf numFmtId="0" fontId="0" fillId="2" borderId="0" xfId="0" applyFill="1" applyAlignment="1">
      <alignment horizontal="fill"/>
    </xf>
    <xf numFmtId="0" fontId="0" fillId="2" borderId="32" xfId="0" applyFill="1" applyBorder="1"/>
    <xf numFmtId="0" fontId="0" fillId="0" borderId="2" xfId="0" applyBorder="1"/>
    <xf numFmtId="1" fontId="0" fillId="3" borderId="32" xfId="0" applyNumberFormat="1" applyFill="1" applyBorder="1"/>
    <xf numFmtId="1" fontId="0" fillId="2" borderId="32" xfId="0" applyNumberFormat="1" applyFill="1" applyBorder="1"/>
    <xf numFmtId="1" fontId="0" fillId="3" borderId="4" xfId="0" applyNumberFormat="1" applyFill="1" applyBorder="1"/>
    <xf numFmtId="1" fontId="0" fillId="3" borderId="34" xfId="0" applyNumberFormat="1" applyFill="1" applyBorder="1"/>
    <xf numFmtId="0" fontId="0" fillId="0" borderId="5" xfId="0" applyBorder="1"/>
    <xf numFmtId="0" fontId="4" fillId="0" borderId="2" xfId="0" applyFont="1" applyBorder="1"/>
    <xf numFmtId="0" fontId="3" fillId="3" borderId="0" xfId="0" applyFont="1" applyFill="1"/>
    <xf numFmtId="0" fontId="4" fillId="3" borderId="0" xfId="0" applyFont="1" applyFill="1"/>
    <xf numFmtId="0" fontId="12" fillId="0" borderId="2" xfId="0" applyFont="1" applyBorder="1" applyProtection="1">
      <protection hidden="1"/>
    </xf>
    <xf numFmtId="0" fontId="12" fillId="0" borderId="0" xfId="0" applyFont="1" applyProtection="1">
      <protection hidden="1"/>
    </xf>
    <xf numFmtId="164" fontId="12" fillId="0" borderId="0" xfId="0" applyNumberFormat="1" applyFont="1" applyProtection="1">
      <protection hidden="1"/>
    </xf>
    <xf numFmtId="0" fontId="0" fillId="0" borderId="3" xfId="0" applyBorder="1"/>
    <xf numFmtId="0" fontId="0" fillId="0" borderId="4" xfId="0" applyBorder="1"/>
    <xf numFmtId="0" fontId="1" fillId="2" borderId="1" xfId="0" applyFont="1" applyFill="1" applyBorder="1" applyAlignment="1">
      <alignment horizontal="centerContinuous"/>
    </xf>
    <xf numFmtId="0" fontId="4" fillId="2" borderId="29" xfId="0" applyFont="1" applyFill="1" applyBorder="1" applyAlignment="1">
      <alignment horizontal="left"/>
    </xf>
    <xf numFmtId="0" fontId="4" fillId="2" borderId="28" xfId="0" applyFont="1" applyFill="1" applyBorder="1"/>
    <xf numFmtId="0" fontId="0" fillId="2" borderId="39" xfId="0" applyFill="1" applyBorder="1"/>
    <xf numFmtId="0" fontId="0" fillId="2" borderId="25" xfId="0" applyFill="1" applyBorder="1"/>
    <xf numFmtId="14" fontId="0" fillId="2" borderId="40" xfId="0" applyNumberFormat="1" applyFill="1" applyBorder="1"/>
    <xf numFmtId="0" fontId="4" fillId="2" borderId="41" xfId="0" applyFont="1" applyFill="1" applyBorder="1"/>
    <xf numFmtId="0" fontId="4" fillId="2" borderId="42" xfId="0" applyFont="1" applyFill="1" applyBorder="1" applyAlignment="1">
      <alignment horizontal="centerContinuous"/>
    </xf>
    <xf numFmtId="0" fontId="1" fillId="2" borderId="43" xfId="0" applyFont="1" applyFill="1" applyBorder="1" applyAlignment="1">
      <alignment horizontal="center"/>
    </xf>
    <xf numFmtId="0" fontId="4" fillId="2" borderId="44" xfId="0" applyFont="1" applyFill="1" applyBorder="1"/>
    <xf numFmtId="0" fontId="4" fillId="2" borderId="45" xfId="0" applyFont="1" applyFill="1" applyBorder="1" applyAlignment="1">
      <alignment vertical="top"/>
    </xf>
    <xf numFmtId="0" fontId="4" fillId="2" borderId="45" xfId="0" applyFont="1" applyFill="1" applyBorder="1" applyAlignment="1">
      <alignment horizontal="center" vertical="top"/>
    </xf>
    <xf numFmtId="0" fontId="4" fillId="3" borderId="46" xfId="0" applyFont="1" applyFill="1" applyBorder="1" applyAlignment="1">
      <alignment horizontal="left" vertical="top"/>
    </xf>
    <xf numFmtId="0" fontId="4" fillId="0" borderId="0" xfId="0" applyFont="1"/>
    <xf numFmtId="3" fontId="0" fillId="0" borderId="21" xfId="0" applyNumberFormat="1" applyBorder="1"/>
    <xf numFmtId="166" fontId="0" fillId="0" borderId="0" xfId="0" applyNumberFormat="1"/>
    <xf numFmtId="17" fontId="0" fillId="0" borderId="0" xfId="0" applyNumberFormat="1"/>
    <xf numFmtId="164" fontId="0" fillId="2" borderId="0" xfId="0" applyNumberFormat="1" applyFill="1"/>
    <xf numFmtId="0" fontId="0" fillId="0" borderId="0" xfId="0" applyAlignment="1">
      <alignment wrapText="1"/>
    </xf>
    <xf numFmtId="0" fontId="1" fillId="2" borderId="2" xfId="0" applyFont="1" applyFill="1" applyBorder="1" applyAlignment="1">
      <alignment wrapText="1"/>
    </xf>
    <xf numFmtId="0" fontId="0" fillId="2" borderId="5" xfId="0" applyFill="1" applyBorder="1" applyAlignment="1">
      <alignment wrapText="1"/>
    </xf>
    <xf numFmtId="0" fontId="6" fillId="2" borderId="1" xfId="0" applyFont="1" applyFill="1" applyBorder="1" applyAlignment="1">
      <alignment horizontal="centerContinuous" wrapText="1"/>
    </xf>
    <xf numFmtId="0" fontId="4" fillId="2" borderId="1" xfId="0" applyFont="1" applyFill="1" applyBorder="1" applyAlignment="1">
      <alignment horizontal="centerContinuous" wrapText="1"/>
    </xf>
    <xf numFmtId="0" fontId="0" fillId="2" borderId="1" xfId="0" applyFill="1" applyBorder="1" applyAlignment="1">
      <alignment wrapText="1"/>
    </xf>
    <xf numFmtId="0" fontId="0" fillId="2" borderId="6" xfId="0" applyFill="1" applyBorder="1" applyAlignment="1">
      <alignment wrapText="1"/>
    </xf>
    <xf numFmtId="0" fontId="4" fillId="2" borderId="2" xfId="0" applyFont="1" applyFill="1" applyBorder="1" applyAlignment="1">
      <alignment wrapText="1"/>
    </xf>
    <xf numFmtId="14" fontId="0" fillId="0" borderId="7" xfId="0" applyNumberFormat="1" applyBorder="1" applyAlignment="1">
      <alignment horizontal="center" wrapText="1"/>
    </xf>
    <xf numFmtId="14" fontId="0" fillId="3" borderId="7" xfId="0" applyNumberFormat="1" applyFill="1" applyBorder="1" applyAlignment="1">
      <alignment horizontal="center" wrapText="1"/>
    </xf>
    <xf numFmtId="0" fontId="0" fillId="0" borderId="7" xfId="0" applyBorder="1" applyAlignment="1">
      <alignment horizontal="center" wrapText="1"/>
    </xf>
    <xf numFmtId="0" fontId="0" fillId="0" borderId="0" xfId="0" applyAlignment="1">
      <alignment horizontal="center" wrapText="1"/>
    </xf>
    <xf numFmtId="0" fontId="0" fillId="2" borderId="2" xfId="0" applyFill="1" applyBorder="1" applyAlignment="1">
      <alignment wrapText="1"/>
    </xf>
    <xf numFmtId="167" fontId="0" fillId="0" borderId="0" xfId="0" applyNumberFormat="1" applyAlignment="1">
      <alignment horizontal="center" wrapText="1"/>
    </xf>
    <xf numFmtId="0" fontId="0" fillId="2" borderId="7" xfId="0" applyFill="1" applyBorder="1" applyAlignment="1">
      <alignment wrapText="1"/>
    </xf>
    <xf numFmtId="0" fontId="1" fillId="2" borderId="3" xfId="0" applyFont="1" applyFill="1" applyBorder="1" applyAlignment="1">
      <alignment wrapText="1"/>
    </xf>
    <xf numFmtId="0" fontId="0" fillId="2" borderId="4" xfId="0" applyFill="1" applyBorder="1" applyAlignment="1">
      <alignment wrapText="1"/>
    </xf>
    <xf numFmtId="0" fontId="0" fillId="2" borderId="8" xfId="0" applyFill="1" applyBorder="1" applyAlignment="1">
      <alignment wrapText="1"/>
    </xf>
    <xf numFmtId="0" fontId="0" fillId="3" borderId="50" xfId="0" applyFill="1" applyBorder="1" applyAlignment="1">
      <alignment horizontal="center" wrapText="1"/>
    </xf>
    <xf numFmtId="0" fontId="0" fillId="3" borderId="51" xfId="0" applyFill="1" applyBorder="1" applyAlignment="1">
      <alignment horizontal="center" wrapText="1"/>
    </xf>
    <xf numFmtId="0" fontId="1" fillId="2" borderId="28" xfId="0" applyFont="1" applyFill="1" applyBorder="1" applyAlignment="1">
      <alignment wrapText="1"/>
    </xf>
    <xf numFmtId="3" fontId="0" fillId="2" borderId="52" xfId="0" applyNumberFormat="1" applyFill="1" applyBorder="1" applyAlignment="1">
      <alignment wrapText="1"/>
    </xf>
    <xf numFmtId="3" fontId="0" fillId="2" borderId="53" xfId="0" applyNumberFormat="1" applyFill="1" applyBorder="1" applyAlignment="1">
      <alignment horizontal="right" wrapText="1"/>
    </xf>
    <xf numFmtId="3" fontId="0" fillId="3" borderId="48" xfId="0" applyNumberFormat="1" applyFill="1" applyBorder="1" applyAlignment="1">
      <alignment wrapText="1"/>
    </xf>
    <xf numFmtId="3" fontId="0" fillId="3" borderId="49" xfId="0" applyNumberFormat="1" applyFill="1" applyBorder="1" applyAlignment="1">
      <alignment wrapText="1"/>
    </xf>
    <xf numFmtId="3" fontId="0" fillId="3" borderId="50" xfId="0" applyNumberFormat="1" applyFill="1" applyBorder="1" applyAlignment="1">
      <alignment wrapText="1"/>
    </xf>
    <xf numFmtId="0" fontId="1" fillId="2" borderId="24" xfId="0" applyFont="1" applyFill="1" applyBorder="1" applyAlignment="1">
      <alignment wrapText="1"/>
    </xf>
    <xf numFmtId="3" fontId="0" fillId="2" borderId="53" xfId="0" applyNumberFormat="1" applyFill="1" applyBorder="1" applyAlignment="1">
      <alignment wrapText="1"/>
    </xf>
    <xf numFmtId="3" fontId="0" fillId="2" borderId="48" xfId="0" applyNumberFormat="1" applyFill="1" applyBorder="1" applyAlignment="1">
      <alignment wrapText="1"/>
    </xf>
    <xf numFmtId="3" fontId="0" fillId="2" borderId="50" xfId="0" applyNumberFormat="1" applyFill="1" applyBorder="1" applyAlignment="1">
      <alignment wrapText="1"/>
    </xf>
    <xf numFmtId="3" fontId="0" fillId="2" borderId="28" xfId="0" applyNumberFormat="1" applyFill="1" applyBorder="1" applyAlignment="1">
      <alignment wrapText="1"/>
    </xf>
    <xf numFmtId="3" fontId="0" fillId="2" borderId="56" xfId="0" applyNumberFormat="1" applyFill="1" applyBorder="1" applyAlignment="1">
      <alignment wrapText="1"/>
    </xf>
    <xf numFmtId="3" fontId="0" fillId="2" borderId="25" xfId="0" applyNumberFormat="1" applyFill="1" applyBorder="1" applyAlignment="1">
      <alignment wrapText="1"/>
    </xf>
    <xf numFmtId="2" fontId="0" fillId="2" borderId="0" xfId="0" applyNumberFormat="1" applyFill="1" applyAlignment="1">
      <alignment horizontal="center" wrapText="1"/>
    </xf>
    <xf numFmtId="0" fontId="4" fillId="2" borderId="0" xfId="0" applyFont="1" applyFill="1" applyAlignment="1">
      <alignment wrapText="1"/>
    </xf>
    <xf numFmtId="0" fontId="0" fillId="2" borderId="0" xfId="0" applyFill="1" applyAlignment="1">
      <alignment horizontal="center" wrapText="1"/>
    </xf>
    <xf numFmtId="3" fontId="0" fillId="2" borderId="48" xfId="0" applyNumberFormat="1" applyFill="1" applyBorder="1" applyAlignment="1">
      <alignment horizontal="right" wrapText="1"/>
    </xf>
    <xf numFmtId="165" fontId="0" fillId="3" borderId="48" xfId="0" applyNumberFormat="1" applyFill="1" applyBorder="1" applyAlignment="1">
      <alignment horizontal="right" wrapText="1"/>
    </xf>
    <xf numFmtId="165" fontId="0" fillId="3" borderId="49" xfId="0" applyNumberFormat="1" applyFill="1" applyBorder="1" applyAlignment="1">
      <alignment horizontal="right" wrapText="1"/>
    </xf>
    <xf numFmtId="0" fontId="0" fillId="3" borderId="0" xfId="0" applyFill="1" applyAlignment="1">
      <alignment horizontal="right"/>
    </xf>
    <xf numFmtId="0" fontId="0" fillId="6" borderId="0" xfId="0" applyFill="1" applyAlignment="1">
      <alignment horizontal="center"/>
    </xf>
    <xf numFmtId="0" fontId="4" fillId="2" borderId="42" xfId="0" applyFont="1" applyFill="1" applyBorder="1" applyAlignment="1">
      <alignment horizontal="center" wrapText="1"/>
    </xf>
    <xf numFmtId="0" fontId="1" fillId="3" borderId="9" xfId="0" applyFont="1" applyFill="1" applyBorder="1" applyAlignment="1">
      <alignment horizontal="center" vertical="top" wrapText="1"/>
    </xf>
    <xf numFmtId="0" fontId="1" fillId="3" borderId="19" xfId="0" applyFont="1" applyFill="1" applyBorder="1" applyAlignment="1">
      <alignment horizontal="center" vertical="top" wrapText="1"/>
    </xf>
    <xf numFmtId="0" fontId="0" fillId="3" borderId="1" xfId="0" applyFill="1" applyBorder="1"/>
    <xf numFmtId="2" fontId="0" fillId="2" borderId="4" xfId="0" applyNumberFormat="1" applyFill="1" applyBorder="1"/>
    <xf numFmtId="2" fontId="0" fillId="3" borderId="18" xfId="0" applyNumberFormat="1" applyFill="1" applyBorder="1"/>
    <xf numFmtId="2" fontId="0" fillId="3" borderId="9" xfId="0" applyNumberFormat="1" applyFill="1" applyBorder="1"/>
    <xf numFmtId="2" fontId="0" fillId="3" borderId="37" xfId="0" applyNumberFormat="1" applyFill="1" applyBorder="1"/>
    <xf numFmtId="2" fontId="0" fillId="3" borderId="38" xfId="0" applyNumberFormat="1" applyFill="1" applyBorder="1"/>
    <xf numFmtId="2" fontId="0" fillId="3" borderId="15" xfId="0" applyNumberFormat="1" applyFill="1" applyBorder="1"/>
    <xf numFmtId="0" fontId="4" fillId="2" borderId="6" xfId="0" applyFont="1" applyFill="1" applyBorder="1"/>
    <xf numFmtId="3" fontId="0" fillId="2" borderId="0" xfId="0" applyNumberFormat="1" applyFill="1" applyAlignment="1">
      <alignment horizontal="center"/>
    </xf>
    <xf numFmtId="0" fontId="0" fillId="3" borderId="7" xfId="0" applyFill="1" applyBorder="1" applyAlignment="1">
      <alignment horizontal="center"/>
    </xf>
    <xf numFmtId="14" fontId="0" fillId="2" borderId="0" xfId="0" applyNumberFormat="1" applyFill="1" applyAlignment="1">
      <alignment horizontal="center"/>
    </xf>
    <xf numFmtId="0" fontId="4" fillId="2" borderId="4" xfId="0" applyFont="1" applyFill="1" applyBorder="1" applyAlignment="1">
      <alignment wrapText="1"/>
    </xf>
    <xf numFmtId="2" fontId="0" fillId="3" borderId="57" xfId="0" applyNumberFormat="1" applyFill="1" applyBorder="1"/>
    <xf numFmtId="2" fontId="0" fillId="3" borderId="58" xfId="0" applyNumberFormat="1" applyFill="1" applyBorder="1"/>
    <xf numFmtId="2" fontId="0" fillId="3" borderId="35" xfId="0" applyNumberFormat="1" applyFill="1" applyBorder="1"/>
    <xf numFmtId="2" fontId="0" fillId="3" borderId="59" xfId="0" applyNumberFormat="1" applyFill="1" applyBorder="1"/>
    <xf numFmtId="0" fontId="4" fillId="2" borderId="8" xfId="0" applyFont="1" applyFill="1" applyBorder="1" applyAlignment="1">
      <alignment wrapText="1"/>
    </xf>
    <xf numFmtId="0" fontId="0" fillId="2" borderId="7" xfId="0" applyFill="1" applyBorder="1" applyAlignment="1">
      <alignment horizontal="center"/>
    </xf>
    <xf numFmtId="3" fontId="0" fillId="2" borderId="7" xfId="0" applyNumberFormat="1" applyFill="1" applyBorder="1" applyAlignment="1">
      <alignment horizontal="center"/>
    </xf>
    <xf numFmtId="0" fontId="4" fillId="2" borderId="7" xfId="0" applyFont="1" applyFill="1" applyBorder="1" applyAlignment="1">
      <alignment wrapText="1"/>
    </xf>
    <xf numFmtId="3" fontId="0" fillId="2" borderId="0" xfId="0" applyNumberFormat="1" applyFill="1" applyAlignment="1">
      <alignment wrapText="1"/>
    </xf>
    <xf numFmtId="3" fontId="0" fillId="2" borderId="7" xfId="0" applyNumberFormat="1" applyFill="1" applyBorder="1" applyAlignment="1">
      <alignment wrapText="1"/>
    </xf>
    <xf numFmtId="3" fontId="0" fillId="2" borderId="0" xfId="0" applyNumberFormat="1" applyFill="1" applyAlignment="1">
      <alignment horizontal="right" wrapText="1"/>
    </xf>
    <xf numFmtId="2" fontId="0" fillId="2" borderId="1" xfId="0" applyNumberFormat="1" applyFill="1" applyBorder="1" applyAlignment="1">
      <alignment horizontal="center" wrapText="1"/>
    </xf>
    <xf numFmtId="2" fontId="0" fillId="2" borderId="6" xfId="0" applyNumberFormat="1" applyFill="1" applyBorder="1" applyAlignment="1">
      <alignment horizontal="center" wrapText="1"/>
    </xf>
    <xf numFmtId="2" fontId="0" fillId="2" borderId="7" xfId="0" applyNumberFormat="1" applyFill="1" applyBorder="1" applyAlignment="1">
      <alignment horizontal="center" wrapText="1"/>
    </xf>
    <xf numFmtId="3" fontId="0" fillId="2" borderId="25" xfId="0" applyNumberFormat="1" applyFill="1" applyBorder="1" applyAlignment="1">
      <alignment horizontal="right" wrapText="1"/>
    </xf>
    <xf numFmtId="9" fontId="0" fillId="0" borderId="0" xfId="3" applyFont="1" applyFill="1" applyBorder="1" applyAlignment="1">
      <alignment horizontal="center" wrapText="1"/>
    </xf>
    <xf numFmtId="2" fontId="0" fillId="3" borderId="36" xfId="0" applyNumberFormat="1" applyFill="1" applyBorder="1"/>
    <xf numFmtId="0" fontId="0" fillId="3" borderId="0" xfId="0" applyFill="1" applyAlignment="1">
      <alignment horizontal="left"/>
    </xf>
    <xf numFmtId="3" fontId="1" fillId="3" borderId="0" xfId="0" applyNumberFormat="1" applyFont="1" applyFill="1" applyAlignment="1">
      <alignment horizontal="center"/>
    </xf>
    <xf numFmtId="0" fontId="14" fillId="0" borderId="0" xfId="0" applyFont="1"/>
    <xf numFmtId="0" fontId="15" fillId="0" borderId="0" xfId="0" applyFont="1"/>
    <xf numFmtId="0" fontId="14" fillId="0" borderId="0" xfId="0" applyFont="1" applyAlignment="1">
      <alignment wrapText="1"/>
    </xf>
    <xf numFmtId="0" fontId="16" fillId="0" borderId="0" xfId="0" applyFont="1"/>
    <xf numFmtId="0" fontId="2" fillId="2" borderId="2" xfId="0" applyFont="1" applyFill="1" applyBorder="1" applyAlignment="1">
      <alignment wrapText="1"/>
    </xf>
    <xf numFmtId="0" fontId="2" fillId="0" borderId="0" xfId="0" applyFont="1" applyAlignment="1">
      <alignment wrapText="1"/>
    </xf>
    <xf numFmtId="3" fontId="2" fillId="3" borderId="48" xfId="0" applyNumberFormat="1" applyFont="1" applyFill="1" applyBorder="1" applyAlignment="1">
      <alignment wrapText="1"/>
    </xf>
    <xf numFmtId="3" fontId="2" fillId="3" borderId="49" xfId="0" applyNumberFormat="1" applyFont="1" applyFill="1" applyBorder="1" applyAlignment="1">
      <alignment wrapText="1"/>
    </xf>
    <xf numFmtId="3" fontId="0" fillId="2" borderId="7" xfId="0" applyNumberFormat="1" applyFill="1" applyBorder="1" applyAlignment="1">
      <alignment horizontal="right" wrapText="1"/>
    </xf>
    <xf numFmtId="3" fontId="0" fillId="2" borderId="8" xfId="0" applyNumberFormat="1" applyFill="1" applyBorder="1" applyAlignment="1">
      <alignment horizontal="right" wrapText="1"/>
    </xf>
    <xf numFmtId="0" fontId="2" fillId="0" borderId="2" xfId="0" applyFont="1" applyBorder="1"/>
    <xf numFmtId="0" fontId="2" fillId="0" borderId="0" xfId="0" applyFont="1"/>
    <xf numFmtId="0" fontId="4" fillId="2" borderId="2" xfId="0" applyFont="1" applyFill="1" applyBorder="1" applyAlignment="1">
      <alignment horizontal="fill"/>
    </xf>
    <xf numFmtId="0" fontId="2" fillId="2" borderId="0" xfId="0" applyFont="1" applyFill="1"/>
    <xf numFmtId="165" fontId="0" fillId="3" borderId="0" xfId="0" applyNumberFormat="1" applyFill="1"/>
    <xf numFmtId="1" fontId="0" fillId="0" borderId="9" xfId="0" applyNumberFormat="1" applyBorder="1"/>
    <xf numFmtId="1" fontId="0" fillId="3" borderId="0" xfId="0" applyNumberFormat="1" applyFill="1"/>
    <xf numFmtId="0" fontId="2" fillId="2" borderId="4" xfId="0" applyFont="1" applyFill="1" applyBorder="1"/>
    <xf numFmtId="0" fontId="2" fillId="2" borderId="2" xfId="0" applyFont="1" applyFill="1" applyBorder="1"/>
    <xf numFmtId="1" fontId="0" fillId="3" borderId="9" xfId="0" applyNumberFormat="1" applyFill="1" applyBorder="1"/>
    <xf numFmtId="0" fontId="0" fillId="2" borderId="63" xfId="0" applyFill="1" applyBorder="1"/>
    <xf numFmtId="0" fontId="4" fillId="2" borderId="3" xfId="0" applyFont="1" applyFill="1" applyBorder="1" applyAlignment="1">
      <alignment horizontal="fill"/>
    </xf>
    <xf numFmtId="0" fontId="0" fillId="2" borderId="4" xfId="0" applyFill="1" applyBorder="1" applyAlignment="1">
      <alignment horizontal="fill"/>
    </xf>
    <xf numFmtId="1" fontId="4" fillId="3" borderId="4" xfId="0" applyNumberFormat="1" applyFont="1" applyFill="1" applyBorder="1"/>
    <xf numFmtId="1" fontId="4" fillId="3" borderId="37" xfId="0" applyNumberFormat="1" applyFont="1" applyFill="1" applyBorder="1"/>
    <xf numFmtId="1" fontId="0" fillId="3" borderId="33" xfId="0" applyNumberFormat="1" applyFill="1" applyBorder="1"/>
    <xf numFmtId="0" fontId="14" fillId="2" borderId="3" xfId="0" applyFont="1" applyFill="1" applyBorder="1"/>
    <xf numFmtId="1" fontId="0" fillId="2" borderId="0" xfId="0" applyNumberFormat="1" applyFill="1" applyAlignment="1">
      <alignment horizontal="centerContinuous"/>
    </xf>
    <xf numFmtId="1" fontId="2" fillId="3" borderId="0" xfId="0" applyNumberFormat="1" applyFont="1" applyFill="1"/>
    <xf numFmtId="1" fontId="12" fillId="0" borderId="0" xfId="0" applyNumberFormat="1" applyFont="1" applyProtection="1">
      <protection hidden="1"/>
    </xf>
    <xf numFmtId="0" fontId="4" fillId="2" borderId="4" xfId="0" applyFont="1" applyFill="1" applyBorder="1" applyAlignment="1">
      <alignment horizontal="center" vertical="top" wrapText="1"/>
    </xf>
    <xf numFmtId="0" fontId="4" fillId="2" borderId="1" xfId="0" applyFont="1" applyFill="1" applyBorder="1" applyAlignment="1">
      <alignment horizontal="right"/>
    </xf>
    <xf numFmtId="0" fontId="4" fillId="2" borderId="48" xfId="0" applyFont="1" applyFill="1" applyBorder="1"/>
    <xf numFmtId="0" fontId="4" fillId="2" borderId="1" xfId="0" applyFont="1" applyFill="1" applyBorder="1" applyAlignment="1">
      <alignment horizontal="center"/>
    </xf>
    <xf numFmtId="0" fontId="4" fillId="2" borderId="4" xfId="0" applyFont="1" applyFill="1" applyBorder="1" applyAlignment="1">
      <alignment horizontal="right" vertical="top" wrapText="1"/>
    </xf>
    <xf numFmtId="0" fontId="1" fillId="2" borderId="6" xfId="0" applyFont="1" applyFill="1" applyBorder="1" applyAlignment="1">
      <alignment horizontal="right"/>
    </xf>
    <xf numFmtId="0" fontId="1" fillId="2" borderId="8" xfId="0" applyFont="1" applyFill="1" applyBorder="1" applyAlignment="1">
      <alignment horizontal="right" vertical="top" wrapText="1"/>
    </xf>
    <xf numFmtId="0" fontId="1" fillId="2" borderId="1" xfId="0" applyFont="1" applyFill="1" applyBorder="1" applyAlignment="1">
      <alignment horizontal="left"/>
    </xf>
    <xf numFmtId="2" fontId="0" fillId="3" borderId="7" xfId="0" applyNumberFormat="1" applyFill="1" applyBorder="1"/>
    <xf numFmtId="3" fontId="0" fillId="3" borderId="0" xfId="0" applyNumberFormat="1" applyFill="1" applyAlignment="1">
      <alignment horizontal="right"/>
    </xf>
    <xf numFmtId="3" fontId="0" fillId="0" borderId="0" xfId="0" applyNumberFormat="1"/>
    <xf numFmtId="3" fontId="0" fillId="3" borderId="7" xfId="0" applyNumberFormat="1" applyFill="1" applyBorder="1" applyAlignment="1">
      <alignment horizontal="right"/>
    </xf>
    <xf numFmtId="3" fontId="0" fillId="2" borderId="0" xfId="0" applyNumberFormat="1" applyFill="1"/>
    <xf numFmtId="3" fontId="0" fillId="2" borderId="7" xfId="0" applyNumberFormat="1" applyFill="1" applyBorder="1"/>
    <xf numFmtId="3" fontId="0" fillId="3" borderId="4" xfId="0" applyNumberFormat="1" applyFill="1" applyBorder="1"/>
    <xf numFmtId="3" fontId="0" fillId="2" borderId="4" xfId="0" applyNumberFormat="1" applyFill="1" applyBorder="1"/>
    <xf numFmtId="3" fontId="0" fillId="3" borderId="8" xfId="0" applyNumberFormat="1" applyFill="1" applyBorder="1"/>
    <xf numFmtId="168" fontId="14" fillId="0" borderId="0" xfId="0" applyNumberFormat="1" applyFont="1"/>
    <xf numFmtId="0" fontId="4" fillId="2" borderId="14" xfId="0" applyFont="1" applyFill="1" applyBorder="1"/>
    <xf numFmtId="3" fontId="4" fillId="2" borderId="64" xfId="0" applyNumberFormat="1" applyFont="1" applyFill="1" applyBorder="1"/>
    <xf numFmtId="164" fontId="2" fillId="0" borderId="0" xfId="0" applyNumberFormat="1" applyFont="1"/>
    <xf numFmtId="0" fontId="2" fillId="4" borderId="47" xfId="0" applyFont="1" applyFill="1" applyBorder="1" applyAlignment="1">
      <alignment horizontal="left" vertical="top" wrapText="1"/>
    </xf>
    <xf numFmtId="3" fontId="0" fillId="4" borderId="21" xfId="0" applyNumberFormat="1" applyFill="1" applyBorder="1" applyAlignment="1">
      <alignment horizontal="center" vertical="top" wrapText="1"/>
    </xf>
    <xf numFmtId="3" fontId="2" fillId="3" borderId="9" xfId="1" applyNumberFormat="1" applyFill="1" applyBorder="1" applyAlignment="1">
      <alignment vertical="top"/>
    </xf>
    <xf numFmtId="3" fontId="2" fillId="3" borderId="19" xfId="1" applyNumberFormat="1" applyFill="1" applyBorder="1" applyAlignment="1">
      <alignment vertical="top"/>
    </xf>
    <xf numFmtId="3" fontId="4" fillId="2" borderId="0" xfId="0" applyNumberFormat="1" applyFont="1" applyFill="1"/>
    <xf numFmtId="3" fontId="2" fillId="3" borderId="4" xfId="1" applyNumberFormat="1" applyFill="1" applyBorder="1"/>
    <xf numFmtId="3" fontId="2" fillId="3" borderId="8" xfId="1" applyNumberFormat="1" applyFill="1" applyBorder="1"/>
    <xf numFmtId="169" fontId="0" fillId="4" borderId="47" xfId="0" applyNumberFormat="1" applyFill="1" applyBorder="1" applyAlignment="1">
      <alignment horizontal="centerContinuous" vertical="top" wrapText="1"/>
    </xf>
    <xf numFmtId="4" fontId="0" fillId="4" borderId="47" xfId="0" applyNumberFormat="1" applyFill="1" applyBorder="1" applyAlignment="1">
      <alignment horizontal="centerContinuous" vertical="top" wrapText="1"/>
    </xf>
    <xf numFmtId="0" fontId="4" fillId="2" borderId="30" xfId="0" applyFont="1" applyFill="1" applyBorder="1" applyAlignment="1">
      <alignment horizontal="right"/>
    </xf>
    <xf numFmtId="0" fontId="4" fillId="2" borderId="5" xfId="0" applyFont="1" applyFill="1" applyBorder="1" applyAlignment="1">
      <alignment horizontal="right" wrapText="1"/>
    </xf>
    <xf numFmtId="3" fontId="0" fillId="3" borderId="22" xfId="0" applyNumberFormat="1" applyFill="1" applyBorder="1"/>
    <xf numFmtId="3" fontId="0" fillId="3" borderId="15" xfId="0" applyNumberFormat="1" applyFill="1" applyBorder="1"/>
    <xf numFmtId="3" fontId="0" fillId="3" borderId="23" xfId="0" applyNumberFormat="1" applyFill="1" applyBorder="1"/>
    <xf numFmtId="3" fontId="0" fillId="3" borderId="57" xfId="0" applyNumberFormat="1" applyFill="1" applyBorder="1"/>
    <xf numFmtId="3" fontId="0" fillId="3" borderId="16" xfId="0" applyNumberFormat="1" applyFill="1" applyBorder="1"/>
    <xf numFmtId="3" fontId="0" fillId="2" borderId="2" xfId="0" applyNumberFormat="1" applyFill="1" applyBorder="1"/>
    <xf numFmtId="3" fontId="0" fillId="2" borderId="3" xfId="0" applyNumberFormat="1" applyFill="1" applyBorder="1"/>
    <xf numFmtId="3" fontId="0" fillId="2" borderId="8" xfId="0" applyNumberFormat="1" applyFill="1" applyBorder="1"/>
    <xf numFmtId="3" fontId="0" fillId="0" borderId="17" xfId="0" applyNumberFormat="1" applyBorder="1"/>
    <xf numFmtId="3" fontId="0" fillId="0" borderId="18" xfId="0" applyNumberFormat="1" applyBorder="1"/>
    <xf numFmtId="3" fontId="0" fillId="0" borderId="20" xfId="0" applyNumberFormat="1" applyBorder="1"/>
    <xf numFmtId="3" fontId="0" fillId="3" borderId="17" xfId="0" applyNumberFormat="1" applyFill="1" applyBorder="1"/>
    <xf numFmtId="3" fontId="0" fillId="3" borderId="18" xfId="0" applyNumberFormat="1" applyFill="1" applyBorder="1"/>
    <xf numFmtId="3" fontId="0" fillId="3" borderId="58" xfId="0" applyNumberFormat="1" applyFill="1" applyBorder="1"/>
    <xf numFmtId="3" fontId="0" fillId="3" borderId="10" xfId="0" applyNumberFormat="1" applyFill="1" applyBorder="1"/>
    <xf numFmtId="3" fontId="0" fillId="0" borderId="11" xfId="0" applyNumberFormat="1" applyBorder="1"/>
    <xf numFmtId="3" fontId="0" fillId="0" borderId="9" xfId="0" applyNumberFormat="1" applyBorder="1"/>
    <xf numFmtId="3" fontId="0" fillId="3" borderId="11" xfId="0" applyNumberFormat="1" applyFill="1" applyBorder="1"/>
    <xf numFmtId="3" fontId="0" fillId="3" borderId="9" xfId="0" applyNumberFormat="1" applyFill="1" applyBorder="1"/>
    <xf numFmtId="3" fontId="0" fillId="3" borderId="35" xfId="0" applyNumberFormat="1" applyFill="1" applyBorder="1"/>
    <xf numFmtId="3" fontId="0" fillId="3" borderId="19" xfId="0" applyNumberFormat="1" applyFill="1" applyBorder="1"/>
    <xf numFmtId="3" fontId="0" fillId="3" borderId="36" xfId="0" applyNumberFormat="1" applyFill="1" applyBorder="1"/>
    <xf numFmtId="3" fontId="0" fillId="3" borderId="37" xfId="0" applyNumberFormat="1" applyFill="1" applyBorder="1"/>
    <xf numFmtId="3" fontId="0" fillId="3" borderId="59" xfId="0" applyNumberFormat="1" applyFill="1" applyBorder="1"/>
    <xf numFmtId="3" fontId="0" fillId="3" borderId="38" xfId="0" applyNumberFormat="1" applyFill="1" applyBorder="1"/>
    <xf numFmtId="3" fontId="0" fillId="2" borderId="1" xfId="0" applyNumberFormat="1" applyFill="1" applyBorder="1"/>
    <xf numFmtId="3" fontId="0" fillId="2" borderId="6" xfId="0" applyNumberFormat="1" applyFill="1" applyBorder="1"/>
    <xf numFmtId="0" fontId="2" fillId="2" borderId="0" xfId="0" applyFont="1" applyFill="1" applyAlignment="1">
      <alignment wrapText="1"/>
    </xf>
    <xf numFmtId="1" fontId="2" fillId="3" borderId="25" xfId="0" applyNumberFormat="1" applyFont="1" applyFill="1" applyBorder="1"/>
    <xf numFmtId="1" fontId="2" fillId="3" borderId="4" xfId="0" applyNumberFormat="1" applyFont="1" applyFill="1" applyBorder="1"/>
    <xf numFmtId="3" fontId="2" fillId="0" borderId="48" xfId="0" applyNumberFormat="1" applyFont="1" applyBorder="1"/>
    <xf numFmtId="3" fontId="2" fillId="0" borderId="50" xfId="0" applyNumberFormat="1" applyFont="1" applyBorder="1"/>
    <xf numFmtId="0" fontId="2" fillId="2" borderId="24" xfId="0" applyFont="1" applyFill="1" applyBorder="1"/>
    <xf numFmtId="0" fontId="2" fillId="2" borderId="3" xfId="0" applyFont="1" applyFill="1" applyBorder="1"/>
    <xf numFmtId="43" fontId="2" fillId="3" borderId="0" xfId="0" applyNumberFormat="1" applyFont="1" applyFill="1" applyAlignment="1">
      <alignment horizontal="center"/>
    </xf>
    <xf numFmtId="0" fontId="2" fillId="2" borderId="27" xfId="0" applyFont="1" applyFill="1" applyBorder="1"/>
    <xf numFmtId="167" fontId="2" fillId="3" borderId="0" xfId="0" applyNumberFormat="1" applyFont="1" applyFill="1" applyAlignment="1">
      <alignment horizontal="center"/>
    </xf>
    <xf numFmtId="166" fontId="2" fillId="3" borderId="0" xfId="0" applyNumberFormat="1" applyFont="1" applyFill="1" applyAlignment="1">
      <alignment horizontal="center"/>
    </xf>
    <xf numFmtId="3" fontId="2" fillId="4" borderId="9" xfId="0" applyNumberFormat="1" applyFont="1" applyFill="1" applyBorder="1" applyAlignment="1">
      <alignment vertical="top"/>
    </xf>
    <xf numFmtId="3" fontId="2" fillId="3" borderId="4" xfId="0" applyNumberFormat="1" applyFont="1" applyFill="1" applyBorder="1"/>
    <xf numFmtId="0" fontId="19" fillId="0" borderId="0" xfId="0" applyFont="1"/>
    <xf numFmtId="9" fontId="0" fillId="0" borderId="50" xfId="0" applyNumberFormat="1" applyBorder="1" applyAlignment="1">
      <alignment horizontal="center" wrapText="1"/>
    </xf>
    <xf numFmtId="10" fontId="0" fillId="0" borderId="50" xfId="0" applyNumberFormat="1" applyBorder="1" applyAlignment="1">
      <alignment horizontal="center" wrapText="1"/>
    </xf>
    <xf numFmtId="10" fontId="0" fillId="0" borderId="51" xfId="0" applyNumberFormat="1" applyBorder="1" applyAlignment="1">
      <alignment horizontal="center" wrapText="1"/>
    </xf>
    <xf numFmtId="9" fontId="0" fillId="0" borderId="48" xfId="0" applyNumberFormat="1" applyBorder="1" applyAlignment="1">
      <alignment horizontal="center" wrapText="1"/>
    </xf>
    <xf numFmtId="166" fontId="0" fillId="0" borderId="48" xfId="0" applyNumberFormat="1" applyBorder="1" applyAlignment="1">
      <alignment horizontal="center" wrapText="1"/>
    </xf>
    <xf numFmtId="166" fontId="0" fillId="0" borderId="49" xfId="0" applyNumberFormat="1" applyBorder="1" applyAlignment="1">
      <alignment horizontal="center" wrapText="1"/>
    </xf>
    <xf numFmtId="3" fontId="0" fillId="0" borderId="54" xfId="0" applyNumberFormat="1" applyBorder="1" applyAlignment="1">
      <alignment wrapText="1"/>
    </xf>
    <xf numFmtId="3" fontId="0" fillId="0" borderId="55" xfId="0" applyNumberFormat="1" applyBorder="1" applyAlignment="1">
      <alignment horizontal="right" wrapText="1"/>
    </xf>
    <xf numFmtId="3" fontId="0" fillId="0" borderId="48" xfId="0" applyNumberFormat="1" applyBorder="1" applyAlignment="1">
      <alignment wrapText="1"/>
    </xf>
    <xf numFmtId="3" fontId="0" fillId="0" borderId="49" xfId="0" applyNumberFormat="1" applyBorder="1" applyAlignment="1">
      <alignment horizontal="right" wrapText="1"/>
    </xf>
    <xf numFmtId="3" fontId="0" fillId="0" borderId="49" xfId="0" applyNumberFormat="1" applyBorder="1" applyAlignment="1">
      <alignment wrapText="1"/>
    </xf>
    <xf numFmtId="3" fontId="0" fillId="0" borderId="50" xfId="0" applyNumberFormat="1" applyBorder="1" applyAlignment="1">
      <alignment wrapText="1"/>
    </xf>
    <xf numFmtId="3" fontId="0" fillId="0" borderId="51" xfId="0" applyNumberFormat="1" applyBorder="1" applyAlignment="1">
      <alignment wrapText="1"/>
    </xf>
    <xf numFmtId="3" fontId="4" fillId="3" borderId="48" xfId="0" applyNumberFormat="1" applyFont="1" applyFill="1" applyBorder="1" applyAlignment="1">
      <alignment wrapText="1"/>
    </xf>
    <xf numFmtId="0" fontId="2" fillId="2" borderId="0" xfId="0" applyFont="1" applyFill="1" applyAlignment="1">
      <alignment horizontal="right" wrapText="1"/>
    </xf>
    <xf numFmtId="0" fontId="21" fillId="7" borderId="0" xfId="0" applyFont="1" applyFill="1" applyAlignment="1">
      <alignment wrapText="1"/>
    </xf>
    <xf numFmtId="0" fontId="21" fillId="7" borderId="0" xfId="0" applyFont="1" applyFill="1" applyAlignment="1">
      <alignment vertical="top" wrapText="1"/>
    </xf>
    <xf numFmtId="0" fontId="18" fillId="8" borderId="0" xfId="0" applyFont="1" applyFill="1"/>
    <xf numFmtId="0" fontId="3" fillId="8" borderId="0" xfId="0" applyFont="1" applyFill="1"/>
    <xf numFmtId="0" fontId="21" fillId="8" borderId="0" xfId="0" applyFont="1" applyFill="1"/>
    <xf numFmtId="0" fontId="3" fillId="8" borderId="0" xfId="0" applyFont="1" applyFill="1" applyAlignment="1">
      <alignment vertical="top"/>
    </xf>
    <xf numFmtId="0" fontId="21" fillId="8" borderId="0" xfId="0" applyFont="1" applyFill="1" applyAlignment="1">
      <alignment wrapText="1"/>
    </xf>
    <xf numFmtId="0" fontId="21" fillId="7" borderId="0" xfId="0" applyFont="1" applyFill="1" applyAlignment="1">
      <alignment horizontal="left"/>
    </xf>
    <xf numFmtId="17" fontId="21" fillId="7" borderId="0" xfId="0" applyNumberFormat="1" applyFont="1" applyFill="1" applyAlignment="1">
      <alignment horizontal="left" wrapText="1"/>
    </xf>
    <xf numFmtId="0" fontId="0" fillId="8" borderId="0" xfId="0" applyFill="1"/>
    <xf numFmtId="0" fontId="21" fillId="9" borderId="0" xfId="0" applyFont="1" applyFill="1"/>
    <xf numFmtId="0" fontId="20" fillId="9" borderId="0" xfId="0" applyFont="1" applyFill="1" applyAlignment="1">
      <alignment vertical="center" wrapText="1"/>
    </xf>
    <xf numFmtId="0" fontId="23" fillId="9" borderId="0" xfId="0" applyFont="1" applyFill="1" applyAlignment="1">
      <alignment wrapText="1"/>
    </xf>
    <xf numFmtId="0" fontId="23" fillId="9" borderId="0" xfId="0" applyFont="1" applyFill="1"/>
    <xf numFmtId="0" fontId="18" fillId="9" borderId="0" xfId="0" applyFont="1" applyFill="1"/>
    <xf numFmtId="0" fontId="21" fillId="9" borderId="0" xfId="0" applyFont="1" applyFill="1" applyAlignment="1">
      <alignment wrapText="1"/>
    </xf>
    <xf numFmtId="0" fontId="3" fillId="9" borderId="0" xfId="0" applyFont="1" applyFill="1"/>
    <xf numFmtId="0" fontId="22" fillId="9" borderId="0" xfId="0" applyFont="1" applyFill="1"/>
    <xf numFmtId="0" fontId="0" fillId="9" borderId="0" xfId="0" applyFill="1"/>
    <xf numFmtId="0" fontId="0" fillId="9" borderId="0" xfId="0" applyFill="1" applyAlignment="1">
      <alignment wrapText="1"/>
    </xf>
    <xf numFmtId="0" fontId="25" fillId="9" borderId="0" xfId="0" applyFont="1" applyFill="1"/>
    <xf numFmtId="0" fontId="21" fillId="9" borderId="0" xfId="0" applyFont="1" applyFill="1" applyAlignment="1">
      <alignment horizontal="left"/>
    </xf>
    <xf numFmtId="17" fontId="21" fillId="9" borderId="0" xfId="0" applyNumberFormat="1" applyFont="1" applyFill="1" applyAlignment="1">
      <alignment horizontal="left" wrapText="1"/>
    </xf>
    <xf numFmtId="0" fontId="21" fillId="9" borderId="0" xfId="0" applyFont="1" applyFill="1" applyAlignment="1">
      <alignment horizontal="left" wrapText="1"/>
    </xf>
    <xf numFmtId="0" fontId="21" fillId="7" borderId="0" xfId="0" applyFont="1" applyFill="1"/>
    <xf numFmtId="0" fontId="0" fillId="7" borderId="0" xfId="0" applyFill="1"/>
    <xf numFmtId="0" fontId="0" fillId="10" borderId="0" xfId="0" applyFill="1"/>
    <xf numFmtId="0" fontId="2" fillId="6" borderId="0" xfId="5" applyFill="1"/>
    <xf numFmtId="0" fontId="2" fillId="2" borderId="0" xfId="5" applyFill="1"/>
    <xf numFmtId="0" fontId="2" fillId="3" borderId="0" xfId="5" applyFill="1"/>
    <xf numFmtId="0" fontId="2" fillId="11" borderId="0" xfId="5" applyFill="1"/>
    <xf numFmtId="0" fontId="6" fillId="11" borderId="1" xfId="0" applyFont="1" applyFill="1" applyBorder="1" applyAlignment="1">
      <alignment horizontal="centerContinuous"/>
    </xf>
    <xf numFmtId="0" fontId="0" fillId="11" borderId="1" xfId="0" applyFill="1" applyBorder="1"/>
    <xf numFmtId="0" fontId="4" fillId="11" borderId="1" xfId="0" applyFont="1" applyFill="1" applyBorder="1"/>
    <xf numFmtId="0" fontId="0" fillId="11" borderId="0" xfId="0" applyFill="1"/>
    <xf numFmtId="0" fontId="0" fillId="11" borderId="0" xfId="0" applyFill="1" applyAlignment="1">
      <alignment horizontal="center"/>
    </xf>
    <xf numFmtId="0" fontId="26" fillId="11" borderId="0" xfId="5" applyFont="1" applyFill="1"/>
    <xf numFmtId="0" fontId="2" fillId="11" borderId="0" xfId="0" applyFont="1" applyFill="1"/>
    <xf numFmtId="0" fontId="4" fillId="11" borderId="0" xfId="0" applyFont="1" applyFill="1"/>
    <xf numFmtId="166" fontId="0" fillId="11" borderId="0" xfId="3" applyNumberFormat="1" applyFont="1" applyFill="1" applyBorder="1"/>
    <xf numFmtId="164" fontId="0" fillId="11" borderId="0" xfId="0" applyNumberFormat="1" applyFill="1"/>
    <xf numFmtId="171" fontId="0" fillId="11" borderId="0" xfId="0" applyNumberFormat="1" applyFill="1"/>
    <xf numFmtId="172" fontId="0" fillId="11" borderId="0" xfId="0" applyNumberFormat="1" applyFill="1"/>
    <xf numFmtId="164" fontId="2" fillId="11" borderId="0" xfId="0" applyNumberFormat="1" applyFont="1" applyFill="1"/>
    <xf numFmtId="0" fontId="0" fillId="3" borderId="2" xfId="0" applyFill="1" applyBorder="1" applyAlignment="1">
      <alignment horizontal="left"/>
    </xf>
    <xf numFmtId="0" fontId="0" fillId="0" borderId="2" xfId="0" applyBorder="1" applyAlignment="1">
      <alignment wrapText="1"/>
    </xf>
    <xf numFmtId="0" fontId="1" fillId="5" borderId="5" xfId="0" applyFont="1" applyFill="1" applyBorder="1" applyAlignment="1">
      <alignment wrapText="1"/>
    </xf>
    <xf numFmtId="0" fontId="0" fillId="5" borderId="1" xfId="0" applyFill="1" applyBorder="1" applyAlignment="1">
      <alignment wrapText="1"/>
    </xf>
    <xf numFmtId="0" fontId="0" fillId="5" borderId="6" xfId="0" applyFill="1" applyBorder="1" applyAlignment="1">
      <alignment wrapText="1"/>
    </xf>
    <xf numFmtId="0" fontId="0" fillId="5" borderId="2" xfId="0" applyFill="1" applyBorder="1" applyAlignment="1">
      <alignment wrapText="1"/>
    </xf>
    <xf numFmtId="0" fontId="0" fillId="5" borderId="0" xfId="0" applyFill="1" applyAlignment="1">
      <alignment wrapText="1"/>
    </xf>
    <xf numFmtId="0" fontId="0" fillId="5" borderId="7" xfId="0" applyFill="1" applyBorder="1" applyAlignment="1">
      <alignment wrapText="1"/>
    </xf>
    <xf numFmtId="0" fontId="0" fillId="5" borderId="3" xfId="0" applyFill="1" applyBorder="1" applyAlignment="1">
      <alignment wrapText="1"/>
    </xf>
    <xf numFmtId="0" fontId="0" fillId="5" borderId="4" xfId="0" applyFill="1" applyBorder="1" applyAlignment="1">
      <alignment wrapText="1"/>
    </xf>
    <xf numFmtId="0" fontId="0" fillId="5" borderId="8" xfId="0" applyFill="1" applyBorder="1" applyAlignment="1">
      <alignment wrapText="1"/>
    </xf>
    <xf numFmtId="0" fontId="1" fillId="2" borderId="4" xfId="0" applyFont="1" applyFill="1" applyBorder="1" applyAlignment="1">
      <alignment wrapText="1"/>
    </xf>
    <xf numFmtId="0" fontId="4" fillId="2" borderId="0" xfId="0" applyFont="1" applyFill="1" applyAlignment="1">
      <alignment horizontal="center"/>
    </xf>
    <xf numFmtId="0" fontId="0" fillId="3" borderId="27" xfId="0" applyFill="1" applyBorder="1"/>
    <xf numFmtId="1" fontId="1" fillId="2" borderId="4" xfId="0" applyNumberFormat="1" applyFont="1" applyFill="1" applyBorder="1"/>
    <xf numFmtId="0" fontId="1" fillId="2" borderId="65" xfId="0" applyFont="1" applyFill="1" applyBorder="1"/>
    <xf numFmtId="0" fontId="1" fillId="2" borderId="66" xfId="0" applyFont="1" applyFill="1" applyBorder="1"/>
    <xf numFmtId="0" fontId="1" fillId="2" borderId="66" xfId="0" applyFont="1" applyFill="1" applyBorder="1" applyAlignment="1">
      <alignment horizontal="center"/>
    </xf>
    <xf numFmtId="0" fontId="1" fillId="2" borderId="67" xfId="0" applyFont="1" applyFill="1" applyBorder="1" applyAlignment="1">
      <alignment horizontal="centerContinuous" wrapText="1"/>
    </xf>
    <xf numFmtId="0" fontId="0" fillId="0" borderId="7" xfId="0" applyBorder="1" applyAlignment="1">
      <alignment wrapText="1"/>
    </xf>
    <xf numFmtId="0" fontId="0" fillId="3" borderId="2" xfId="0" applyFill="1" applyBorder="1"/>
    <xf numFmtId="0" fontId="2" fillId="3" borderId="2" xfId="0" applyFont="1" applyFill="1" applyBorder="1"/>
    <xf numFmtId="0" fontId="2" fillId="3" borderId="0" xfId="0" applyFont="1" applyFill="1"/>
    <xf numFmtId="0" fontId="5" fillId="2" borderId="5" xfId="0" applyFont="1" applyFill="1" applyBorder="1"/>
    <xf numFmtId="0" fontId="1" fillId="2" borderId="2" xfId="0" applyFont="1" applyFill="1" applyBorder="1" applyAlignment="1">
      <alignment horizontal="center"/>
    </xf>
    <xf numFmtId="0" fontId="1" fillId="2" borderId="0" xfId="0" applyFont="1" applyFill="1" applyAlignment="1">
      <alignment horizontal="center"/>
    </xf>
    <xf numFmtId="0" fontId="4" fillId="2" borderId="3" xfId="0" applyFont="1" applyFill="1" applyBorder="1" applyAlignment="1">
      <alignment horizontal="center"/>
    </xf>
    <xf numFmtId="0" fontId="1" fillId="2" borderId="4" xfId="0" applyFont="1" applyFill="1" applyBorder="1" applyAlignment="1">
      <alignment horizontal="center"/>
    </xf>
    <xf numFmtId="0" fontId="0" fillId="2" borderId="4" xfId="0" applyFill="1" applyBorder="1" applyAlignment="1">
      <alignment horizontal="center"/>
    </xf>
    <xf numFmtId="1" fontId="1" fillId="2" borderId="4" xfId="0" applyNumberFormat="1" applyFont="1" applyFill="1" applyBorder="1" applyAlignment="1">
      <alignment horizontal="center"/>
    </xf>
    <xf numFmtId="0" fontId="0" fillId="2" borderId="8" xfId="0" applyFill="1" applyBorder="1" applyAlignment="1">
      <alignment horizontal="center"/>
    </xf>
    <xf numFmtId="0" fontId="4" fillId="2" borderId="2" xfId="0" applyFont="1" applyFill="1" applyBorder="1" applyAlignment="1">
      <alignment horizontal="left"/>
    </xf>
    <xf numFmtId="170" fontId="0" fillId="0" borderId="68" xfId="1" applyNumberFormat="1" applyFont="1" applyFill="1" applyBorder="1"/>
    <xf numFmtId="0" fontId="4" fillId="2" borderId="54" xfId="0" applyFont="1" applyFill="1" applyBorder="1"/>
    <xf numFmtId="0" fontId="20" fillId="9" borderId="0" xfId="0" applyFont="1" applyFill="1" applyAlignment="1">
      <alignment vertical="center" wrapText="1"/>
    </xf>
    <xf numFmtId="0" fontId="2" fillId="0" borderId="61" xfId="0" applyFont="1" applyBorder="1" applyAlignment="1">
      <alignment horizontal="center"/>
    </xf>
    <xf numFmtId="0" fontId="2" fillId="0" borderId="62" xfId="0" applyFont="1" applyBorder="1" applyAlignment="1">
      <alignment horizontal="center"/>
    </xf>
    <xf numFmtId="0" fontId="2" fillId="0" borderId="2" xfId="0" applyFont="1" applyBorder="1" applyAlignment="1">
      <alignment horizontal="left" wrapText="1"/>
    </xf>
    <xf numFmtId="0" fontId="2" fillId="0" borderId="60" xfId="0" applyFont="1" applyBorder="1" applyAlignment="1">
      <alignment horizontal="left" wrapText="1"/>
    </xf>
    <xf numFmtId="0" fontId="1" fillId="2" borderId="42" xfId="0" applyFont="1" applyFill="1" applyBorder="1" applyAlignment="1">
      <alignment horizontal="center" wrapText="1"/>
    </xf>
    <xf numFmtId="0" fontId="1" fillId="2" borderId="45" xfId="0" applyFont="1" applyFill="1" applyBorder="1" applyAlignment="1">
      <alignment horizontal="center" wrapText="1"/>
    </xf>
    <xf numFmtId="0" fontId="0" fillId="3" borderId="2" xfId="0" applyFill="1" applyBorder="1" applyAlignment="1">
      <alignment horizontal="left"/>
    </xf>
    <xf numFmtId="0" fontId="0" fillId="3" borderId="0" xfId="0" applyFill="1" applyAlignment="1">
      <alignment horizontal="left"/>
    </xf>
    <xf numFmtId="0" fontId="13" fillId="11" borderId="0" xfId="2" applyFill="1" applyBorder="1" applyAlignment="1" applyProtection="1">
      <alignment wrapText="1"/>
    </xf>
    <xf numFmtId="0" fontId="0" fillId="11" borderId="0" xfId="0" applyFill="1" applyAlignment="1">
      <alignment wrapText="1"/>
    </xf>
    <xf numFmtId="0" fontId="6" fillId="2" borderId="1" xfId="0" applyFont="1" applyFill="1" applyBorder="1" applyAlignment="1">
      <alignment horizontal="left"/>
    </xf>
    <xf numFmtId="0" fontId="23" fillId="9" borderId="0" xfId="0" applyFont="1" applyFill="1" applyAlignment="1"/>
    <xf numFmtId="0" fontId="0" fillId="0" borderId="45" xfId="0" applyBorder="1" applyAlignment="1"/>
  </cellXfs>
  <cellStyles count="6">
    <cellStyle name="Comma" xfId="1" builtinId="3"/>
    <cellStyle name="Comma 2" xfId="4" xr:uid="{135CA1B1-DD5F-48DB-90CF-816D28F05DD1}"/>
    <cellStyle name="Hyperlink" xfId="2" builtinId="8"/>
    <cellStyle name="Normal" xfId="0" builtinId="0"/>
    <cellStyle name="Normal 2" xfId="5" xr:uid="{B7DEF39F-5E0E-456E-A42D-4DF3CE992018}"/>
    <cellStyle name="Per cent" xfId="3"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99FF"/>
      <color rgb="FFA0E0E0"/>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6134800550206328E-2"/>
          <c:y val="4.941667571513024E-2"/>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5.9147180192572216E-2"/>
          <c:y val="0.1523680834549849"/>
          <c:w val="0.85832187070151311"/>
          <c:h val="0.71654179786938843"/>
        </c:manualLayout>
      </c:layout>
      <c:scatterChart>
        <c:scatterStyle val="smoothMarker"/>
        <c:varyColors val="0"/>
        <c:ser>
          <c:idx val="0"/>
          <c:order val="0"/>
          <c:tx>
            <c:strRef>
              <c:f>'Annual Average Damage'!$A$77:$B$77</c:f>
              <c:strCache>
                <c:ptCount val="2"/>
                <c:pt idx="0">
                  <c:v>Damage</c:v>
                </c:pt>
                <c:pt idx="1">
                  <c:v>£k</c:v>
                </c:pt>
              </c:strCache>
            </c:strRef>
          </c:tx>
          <c:spPr>
            <a:ln w="12700">
              <a:solidFill>
                <a:srgbClr val="000080"/>
              </a:solidFill>
              <a:prstDash val="solid"/>
            </a:ln>
          </c:spPr>
          <c:marker>
            <c:symbol val="none"/>
          </c:marker>
          <c:xVal>
            <c:numRef>
              <c:f>'Annual Average Damage'!$C$76:$K$76</c:f>
              <c:numCache>
                <c:formatCode>0.000</c:formatCode>
                <c:ptCount val="9"/>
                <c:pt idx="0">
                  <c:v>0.5</c:v>
                </c:pt>
                <c:pt idx="1">
                  <c:v>0.2</c:v>
                </c:pt>
                <c:pt idx="2">
                  <c:v>0.1</c:v>
                </c:pt>
                <c:pt idx="3">
                  <c:v>0.05</c:v>
                </c:pt>
                <c:pt idx="4">
                  <c:v>0.02</c:v>
                </c:pt>
                <c:pt idx="5">
                  <c:v>1.3333333333333334E-2</c:v>
                </c:pt>
                <c:pt idx="6">
                  <c:v>0.01</c:v>
                </c:pt>
                <c:pt idx="7">
                  <c:v>5.0000000000000001E-3</c:v>
                </c:pt>
                <c:pt idx="8">
                  <c:v>0</c:v>
                </c:pt>
              </c:numCache>
            </c:numRef>
          </c:xVal>
          <c:yVal>
            <c:numRef>
              <c:f>'Annual Average Damage'!$C$77:$K$77</c:f>
              <c:numCache>
                <c:formatCode>0</c:formatCode>
                <c:ptCount val="9"/>
                <c:pt idx="0">
                  <c:v>0</c:v>
                </c:pt>
                <c:pt idx="1">
                  <c:v>0</c:v>
                </c:pt>
                <c:pt idx="2">
                  <c:v>0</c:v>
                </c:pt>
                <c:pt idx="3">
                  <c:v>0</c:v>
                </c:pt>
                <c:pt idx="4">
                  <c:v>0</c:v>
                </c:pt>
                <c:pt idx="5">
                  <c:v>0</c:v>
                </c:pt>
                <c:pt idx="6">
                  <c:v>0</c:v>
                </c:pt>
                <c:pt idx="7">
                  <c:v>0</c:v>
                </c:pt>
                <c:pt idx="8">
                  <c:v>0</c:v>
                </c:pt>
              </c:numCache>
            </c:numRef>
          </c:yVal>
          <c:smooth val="1"/>
          <c:extLst>
            <c:ext xmlns:c16="http://schemas.microsoft.com/office/drawing/2014/chart" uri="{C3380CC4-5D6E-409C-BE32-E72D297353CC}">
              <c16:uniqueId val="{00000000-09F9-44A4-A0B9-4E0AC6D911BF}"/>
            </c:ext>
          </c:extLst>
        </c:ser>
        <c:dLbls>
          <c:showLegendKey val="0"/>
          <c:showVal val="0"/>
          <c:showCatName val="0"/>
          <c:showSerName val="0"/>
          <c:showPercent val="0"/>
          <c:showBubbleSize val="0"/>
        </c:dLbls>
        <c:axId val="130243240"/>
        <c:axId val="265780624"/>
      </c:scatterChart>
      <c:valAx>
        <c:axId val="130243240"/>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GB"/>
                  <a:t>Probability</a:t>
                </a:r>
              </a:p>
            </c:rich>
          </c:tx>
          <c:layout>
            <c:manualLayout>
              <c:xMode val="edge"/>
              <c:yMode val="edge"/>
              <c:x val="0.44016506189821181"/>
              <c:y val="0.92450364150389486"/>
            </c:manualLayout>
          </c:layout>
          <c:overlay val="0"/>
          <c:spPr>
            <a:noFill/>
            <a:ln w="25400">
              <a:noFill/>
            </a:ln>
          </c:spPr>
        </c:title>
        <c:numFmt formatCode="0.0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65780624"/>
        <c:crosses val="autoZero"/>
        <c:crossBetween val="midCat"/>
      </c:valAx>
      <c:valAx>
        <c:axId val="265780624"/>
        <c:scaling>
          <c:orientation val="minMax"/>
          <c:min val="0"/>
        </c:scaling>
        <c:delete val="0"/>
        <c:axPos val="l"/>
        <c:numFmt formatCode="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30243240"/>
        <c:crosses val="autoZero"/>
        <c:crossBetween val="midCat"/>
      </c:valAx>
      <c:spPr>
        <a:solidFill>
          <a:srgbClr val="A0E0E0"/>
        </a:solidFill>
        <a:ln w="12700">
          <a:solidFill>
            <a:srgbClr val="808080"/>
          </a:solidFill>
          <a:prstDash val="solid"/>
        </a:ln>
      </c:spPr>
    </c:plotArea>
    <c:plotVisOnly val="1"/>
    <c:dispBlanksAs val="gap"/>
    <c:showDLblsOverMax val="0"/>
  </c:chart>
  <c:spPr>
    <a:solidFill>
      <a:srgbClr val="FFFFFF"/>
    </a:solidFill>
    <a:ln w="6350">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00"/>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438150</xdr:colOff>
      <xdr:row>50</xdr:row>
      <xdr:rowOff>47625</xdr:rowOff>
    </xdr:from>
    <xdr:to>
      <xdr:col>11</xdr:col>
      <xdr:colOff>133350</xdr:colOff>
      <xdr:row>78</xdr:row>
      <xdr:rowOff>47625</xdr:rowOff>
    </xdr:to>
    <xdr:graphicFrame macro="">
      <xdr:nvGraphicFramePr>
        <xdr:cNvPr id="15361" name="Chart 1">
          <a:extLst>
            <a:ext uri="{FF2B5EF4-FFF2-40B4-BE49-F238E27FC236}">
              <a16:creationId xmlns:a16="http://schemas.microsoft.com/office/drawing/2014/main" id="{00000000-0008-0000-0200-0000013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304800</xdr:colOff>
      <xdr:row>17</xdr:row>
      <xdr:rowOff>28575</xdr:rowOff>
    </xdr:to>
    <xdr:pic>
      <xdr:nvPicPr>
        <xdr:cNvPr id="2" name="Picture 1">
          <a:extLst>
            <a:ext uri="{FF2B5EF4-FFF2-40B4-BE49-F238E27FC236}">
              <a16:creationId xmlns:a16="http://schemas.microsoft.com/office/drawing/2014/main" id="{26B98D56-F499-4D85-8AB3-98D557D7A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47700"/>
          <a:ext cx="6505575"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7.bin"/><Relationship Id="rId1" Type="http://schemas.openxmlformats.org/officeDocument/2006/relationships/hyperlink" Target="https://www.gov.uk/government/publications/the-green-book-appraisal-and-evaluation-in-central-governent/the-green-book-20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71"/>
  <sheetViews>
    <sheetView zoomScale="70" zoomScaleNormal="70" workbookViewId="0">
      <selection activeCell="F52" sqref="F52"/>
    </sheetView>
  </sheetViews>
  <sheetFormatPr defaultColWidth="8.7109375" defaultRowHeight="15"/>
  <cols>
    <col min="1" max="1" width="3.5703125" style="331" customWidth="1"/>
    <col min="2" max="2" width="0.85546875" style="331" customWidth="1"/>
    <col min="3" max="3" width="32.7109375" style="331" customWidth="1"/>
    <col min="4" max="4" width="0.85546875" style="331" customWidth="1"/>
    <col min="5" max="5" width="3.5703125" style="331" customWidth="1"/>
    <col min="6" max="6" width="144.140625" style="336" customWidth="1"/>
    <col min="7" max="14" width="11.7109375" style="331" customWidth="1"/>
    <col min="15" max="16384" width="8.7109375" style="331"/>
  </cols>
  <sheetData>
    <row r="1" spans="2:17" ht="31.5" customHeight="1">
      <c r="C1" s="399" t="s">
        <v>0</v>
      </c>
      <c r="D1" s="399"/>
      <c r="E1" s="399"/>
      <c r="F1" s="411"/>
      <c r="G1" s="411"/>
      <c r="H1" s="411"/>
      <c r="I1" s="411"/>
      <c r="J1" s="411"/>
      <c r="K1" s="411"/>
      <c r="L1" s="411"/>
      <c r="M1" s="411"/>
      <c r="N1" s="411"/>
    </row>
    <row r="2" spans="2:17" ht="31.5" customHeight="1">
      <c r="C2" s="332"/>
      <c r="D2" s="332"/>
      <c r="E2" s="332"/>
      <c r="F2" s="333"/>
      <c r="G2" s="334"/>
      <c r="H2" s="334"/>
      <c r="I2" s="334"/>
      <c r="J2" s="334"/>
      <c r="K2" s="334"/>
      <c r="L2" s="334"/>
      <c r="M2" s="334"/>
      <c r="N2" s="334"/>
    </row>
    <row r="3" spans="2:17" ht="16.5" customHeight="1">
      <c r="B3" s="325"/>
      <c r="C3" s="323" t="s">
        <v>1</v>
      </c>
      <c r="D3" s="323"/>
      <c r="E3" s="335"/>
      <c r="F3" s="321" t="s">
        <v>2</v>
      </c>
    </row>
    <row r="4" spans="2:17" ht="3.95" customHeight="1">
      <c r="B4" s="325"/>
      <c r="C4" s="323"/>
      <c r="D4" s="323"/>
      <c r="E4" s="335"/>
      <c r="F4" s="321"/>
    </row>
    <row r="5" spans="2:17" ht="15.75">
      <c r="B5" s="325"/>
      <c r="C5" s="324"/>
      <c r="D5" s="324"/>
      <c r="E5" s="337"/>
      <c r="F5" s="321" t="s">
        <v>3</v>
      </c>
    </row>
    <row r="6" spans="2:17" ht="3.95" customHeight="1">
      <c r="B6" s="325"/>
      <c r="C6" s="324"/>
      <c r="D6" s="324"/>
      <c r="E6" s="337"/>
      <c r="F6" s="321"/>
    </row>
    <row r="7" spans="2:17" ht="15.95" customHeight="1">
      <c r="B7" s="325"/>
      <c r="C7" s="324"/>
      <c r="D7" s="324"/>
      <c r="E7" s="337"/>
      <c r="F7" s="321" t="s">
        <v>4</v>
      </c>
    </row>
    <row r="8" spans="2:17" ht="3.95" customHeight="1">
      <c r="B8" s="325"/>
      <c r="C8" s="324"/>
      <c r="D8" s="324"/>
      <c r="E8" s="337"/>
      <c r="F8" s="321"/>
    </row>
    <row r="9" spans="2:17">
      <c r="B9" s="325"/>
      <c r="C9" s="325"/>
      <c r="D9" s="325"/>
      <c r="F9" s="321" t="s">
        <v>5</v>
      </c>
      <c r="Q9" s="338"/>
    </row>
    <row r="10" spans="2:17" ht="15.75">
      <c r="C10" s="337"/>
      <c r="D10" s="337"/>
      <c r="E10" s="337"/>
    </row>
    <row r="11" spans="2:17" ht="48" customHeight="1">
      <c r="B11" s="325"/>
      <c r="C11" s="326" t="s">
        <v>6</v>
      </c>
      <c r="D11" s="324"/>
      <c r="E11" s="337"/>
      <c r="F11" s="321" t="s">
        <v>7</v>
      </c>
    </row>
    <row r="12" spans="2:17" ht="3.6" customHeight="1">
      <c r="B12" s="325"/>
      <c r="C12" s="324"/>
      <c r="D12" s="324"/>
      <c r="E12" s="337"/>
      <c r="F12" s="321"/>
    </row>
    <row r="13" spans="2:17" ht="15.75">
      <c r="B13" s="325"/>
      <c r="C13" s="324"/>
      <c r="D13" s="324"/>
      <c r="E13" s="337"/>
      <c r="F13" s="321" t="s">
        <v>8</v>
      </c>
    </row>
    <row r="14" spans="2:17" ht="3.95" customHeight="1">
      <c r="B14" s="325"/>
      <c r="C14" s="324"/>
      <c r="D14" s="324"/>
      <c r="E14" s="337"/>
      <c r="F14" s="321"/>
    </row>
    <row r="15" spans="2:17" ht="15.95" customHeight="1">
      <c r="B15" s="325"/>
      <c r="C15" s="324"/>
      <c r="D15" s="324"/>
      <c r="E15" s="337"/>
      <c r="F15" s="321" t="s">
        <v>9</v>
      </c>
    </row>
    <row r="16" spans="2:17" ht="15.75">
      <c r="C16" s="337"/>
      <c r="D16" s="337"/>
      <c r="E16" s="337"/>
    </row>
    <row r="17" spans="2:6" ht="32.25" customHeight="1">
      <c r="B17" s="325"/>
      <c r="C17" s="324" t="s">
        <v>10</v>
      </c>
      <c r="D17" s="324"/>
      <c r="E17" s="337"/>
      <c r="F17" s="321" t="s">
        <v>11</v>
      </c>
    </row>
    <row r="18" spans="2:6" ht="3.95" customHeight="1">
      <c r="B18" s="325"/>
      <c r="C18" s="324"/>
      <c r="D18" s="324"/>
      <c r="E18" s="337"/>
      <c r="F18" s="321"/>
    </row>
    <row r="19" spans="2:6" ht="15.75">
      <c r="B19" s="325"/>
      <c r="C19" s="324"/>
      <c r="D19" s="324"/>
      <c r="E19" s="337"/>
      <c r="F19" s="321" t="s">
        <v>12</v>
      </c>
    </row>
    <row r="20" spans="2:6" ht="3.95" customHeight="1">
      <c r="B20" s="325"/>
      <c r="C20" s="324"/>
      <c r="D20" s="324"/>
      <c r="E20" s="337"/>
      <c r="F20" s="321"/>
    </row>
    <row r="21" spans="2:6" ht="15.75">
      <c r="B21" s="325"/>
      <c r="C21" s="324"/>
      <c r="D21" s="324"/>
      <c r="E21" s="337"/>
      <c r="F21" s="321" t="s">
        <v>13</v>
      </c>
    </row>
    <row r="22" spans="2:6" ht="3.95" customHeight="1">
      <c r="B22" s="325"/>
      <c r="C22" s="324"/>
      <c r="D22" s="324"/>
      <c r="E22" s="337"/>
      <c r="F22" s="321"/>
    </row>
    <row r="23" spans="2:6" ht="31.5" customHeight="1">
      <c r="B23" s="325"/>
      <c r="C23" s="324"/>
      <c r="D23" s="324"/>
      <c r="E23" s="337"/>
      <c r="F23" s="322" t="s">
        <v>14</v>
      </c>
    </row>
    <row r="24" spans="2:6" ht="3.95" customHeight="1">
      <c r="B24" s="325"/>
      <c r="C24" s="324"/>
      <c r="D24" s="324"/>
      <c r="E24" s="337"/>
      <c r="F24" s="322"/>
    </row>
    <row r="25" spans="2:6" ht="15.75">
      <c r="B25" s="325"/>
      <c r="C25" s="324"/>
      <c r="D25" s="324"/>
      <c r="E25" s="337"/>
      <c r="F25" s="321" t="s">
        <v>15</v>
      </c>
    </row>
    <row r="26" spans="2:6" ht="3.95" customHeight="1">
      <c r="B26" s="325"/>
      <c r="C26" s="324"/>
      <c r="D26" s="324"/>
      <c r="E26" s="337"/>
      <c r="F26" s="321"/>
    </row>
    <row r="27" spans="2:6" ht="15.75" customHeight="1">
      <c r="B27" s="325"/>
      <c r="C27" s="324"/>
      <c r="D27" s="324"/>
      <c r="E27" s="337"/>
      <c r="F27" s="321" t="s">
        <v>16</v>
      </c>
    </row>
    <row r="28" spans="2:6" ht="3.95" customHeight="1">
      <c r="B28" s="325"/>
      <c r="C28" s="324"/>
      <c r="D28" s="324"/>
      <c r="E28" s="337"/>
      <c r="F28" s="321"/>
    </row>
    <row r="29" spans="2:6" ht="30.75">
      <c r="B29" s="325"/>
      <c r="C29" s="324"/>
      <c r="D29" s="324"/>
      <c r="E29" s="337"/>
      <c r="F29" s="321" t="s">
        <v>17</v>
      </c>
    </row>
    <row r="30" spans="2:6" ht="15.75">
      <c r="C30" s="337"/>
      <c r="D30" s="337"/>
      <c r="E30" s="337"/>
    </row>
    <row r="31" spans="2:6" ht="45.75">
      <c r="B31" s="325"/>
      <c r="C31" s="326" t="s">
        <v>18</v>
      </c>
      <c r="D31" s="324"/>
      <c r="E31" s="337"/>
      <c r="F31" s="321" t="s">
        <v>19</v>
      </c>
    </row>
    <row r="32" spans="2:6" ht="3.95" customHeight="1">
      <c r="B32" s="325"/>
      <c r="C32" s="324"/>
      <c r="D32" s="324"/>
      <c r="E32" s="337"/>
      <c r="F32" s="321"/>
    </row>
    <row r="33" spans="2:6" ht="15.75">
      <c r="B33" s="325"/>
      <c r="C33" s="324"/>
      <c r="D33" s="324"/>
      <c r="E33" s="337"/>
      <c r="F33" s="321" t="s">
        <v>20</v>
      </c>
    </row>
    <row r="34" spans="2:6" ht="15.75">
      <c r="C34" s="337"/>
      <c r="D34" s="337"/>
      <c r="E34" s="337"/>
    </row>
    <row r="35" spans="2:6" ht="30.75">
      <c r="B35" s="325"/>
      <c r="C35" s="324" t="s">
        <v>21</v>
      </c>
      <c r="D35" s="324"/>
      <c r="E35" s="337"/>
      <c r="F35" s="321" t="s">
        <v>22</v>
      </c>
    </row>
    <row r="36" spans="2:6" ht="3.95" customHeight="1">
      <c r="B36" s="325"/>
      <c r="C36" s="324"/>
      <c r="D36" s="324"/>
      <c r="E36" s="337"/>
      <c r="F36" s="321"/>
    </row>
    <row r="37" spans="2:6" ht="15.75">
      <c r="B37" s="325"/>
      <c r="C37" s="324"/>
      <c r="D37" s="324"/>
      <c r="E37" s="337"/>
      <c r="F37" s="321" t="s">
        <v>23</v>
      </c>
    </row>
    <row r="38" spans="2:6" ht="3.95" customHeight="1">
      <c r="B38" s="325"/>
      <c r="C38" s="324"/>
      <c r="D38" s="324"/>
      <c r="E38" s="337"/>
      <c r="F38" s="321"/>
    </row>
    <row r="39" spans="2:6" ht="15.75">
      <c r="B39" s="325"/>
      <c r="C39" s="324"/>
      <c r="D39" s="324"/>
      <c r="E39" s="337"/>
      <c r="F39" s="321" t="s">
        <v>24</v>
      </c>
    </row>
    <row r="40" spans="2:6" ht="15.75">
      <c r="C40" s="337"/>
      <c r="D40" s="337"/>
      <c r="E40" s="337"/>
    </row>
    <row r="41" spans="2:6" ht="30.75">
      <c r="B41" s="325"/>
      <c r="C41" s="326" t="s">
        <v>25</v>
      </c>
      <c r="D41" s="326"/>
      <c r="E41" s="337"/>
      <c r="F41" s="321" t="s">
        <v>26</v>
      </c>
    </row>
    <row r="42" spans="2:6" ht="3.95" customHeight="1">
      <c r="B42" s="325"/>
      <c r="C42" s="326"/>
      <c r="D42" s="326"/>
      <c r="E42" s="337"/>
      <c r="F42" s="321"/>
    </row>
    <row r="43" spans="2:6" ht="15.75">
      <c r="B43" s="325"/>
      <c r="C43" s="324"/>
      <c r="D43" s="324"/>
      <c r="E43" s="337"/>
      <c r="F43" s="321" t="s">
        <v>27</v>
      </c>
    </row>
    <row r="44" spans="2:6" ht="15.75">
      <c r="C44" s="337"/>
      <c r="D44" s="337"/>
      <c r="E44" s="337"/>
    </row>
    <row r="45" spans="2:6" ht="15.75">
      <c r="B45" s="325"/>
      <c r="C45" s="324" t="s">
        <v>28</v>
      </c>
      <c r="D45" s="324"/>
      <c r="E45" s="337"/>
      <c r="F45" s="321" t="s">
        <v>29</v>
      </c>
    </row>
    <row r="46" spans="2:6" ht="3.95" customHeight="1">
      <c r="B46" s="325"/>
      <c r="C46" s="324"/>
      <c r="D46" s="324"/>
      <c r="E46" s="337"/>
      <c r="F46" s="321"/>
    </row>
    <row r="47" spans="2:6" ht="15.75">
      <c r="B47" s="325"/>
      <c r="C47" s="324"/>
      <c r="D47" s="324"/>
      <c r="E47" s="337"/>
      <c r="F47" s="321" t="s">
        <v>30</v>
      </c>
    </row>
    <row r="48" spans="2:6" ht="3.95" customHeight="1">
      <c r="B48" s="325"/>
      <c r="C48" s="324"/>
      <c r="D48" s="324"/>
      <c r="E48" s="337"/>
    </row>
    <row r="49" spans="2:13" ht="15.75">
      <c r="C49" s="337"/>
      <c r="D49" s="337"/>
      <c r="E49" s="337"/>
    </row>
    <row r="50" spans="2:13" ht="15.75">
      <c r="C50" s="337"/>
      <c r="D50" s="337"/>
      <c r="E50" s="337"/>
    </row>
    <row r="51" spans="2:13" ht="23.25">
      <c r="C51" s="341" t="s">
        <v>31</v>
      </c>
      <c r="D51" s="337"/>
      <c r="E51" s="337"/>
    </row>
    <row r="52" spans="2:13" ht="15.75">
      <c r="C52" s="337"/>
      <c r="D52" s="337"/>
      <c r="E52" s="337"/>
    </row>
    <row r="53" spans="2:13" ht="15.75">
      <c r="B53" s="325"/>
      <c r="C53" s="324" t="s">
        <v>32</v>
      </c>
      <c r="D53" s="324"/>
      <c r="E53" s="337"/>
      <c r="F53" s="321"/>
    </row>
    <row r="54" spans="2:13">
      <c r="B54" s="325"/>
      <c r="C54" s="347"/>
      <c r="D54" s="330"/>
      <c r="F54" s="345" t="s">
        <v>33</v>
      </c>
      <c r="G54" s="339"/>
      <c r="H54" s="339"/>
      <c r="I54" s="339"/>
      <c r="J54" s="339"/>
      <c r="K54" s="339"/>
      <c r="L54" s="339"/>
      <c r="M54" s="339"/>
    </row>
    <row r="55" spans="2:13">
      <c r="B55" s="325"/>
      <c r="C55" s="330"/>
      <c r="D55" s="330"/>
      <c r="F55" s="345"/>
      <c r="G55" s="339"/>
      <c r="H55" s="339"/>
      <c r="I55" s="339"/>
      <c r="J55" s="339"/>
      <c r="K55" s="339"/>
      <c r="L55" s="339"/>
      <c r="M55" s="339"/>
    </row>
    <row r="56" spans="2:13">
      <c r="B56" s="325"/>
      <c r="C56" s="350"/>
      <c r="D56" s="330"/>
      <c r="F56" s="321" t="s">
        <v>34</v>
      </c>
      <c r="G56" s="340"/>
      <c r="H56" s="340"/>
      <c r="I56" s="340"/>
      <c r="J56" s="340"/>
      <c r="K56" s="340"/>
      <c r="L56" s="340"/>
      <c r="M56" s="340"/>
    </row>
    <row r="57" spans="2:13">
      <c r="B57" s="325"/>
      <c r="C57" s="330"/>
      <c r="D57" s="330"/>
      <c r="F57" s="321"/>
      <c r="G57" s="340"/>
      <c r="H57" s="340"/>
      <c r="I57" s="340"/>
      <c r="J57" s="340"/>
      <c r="K57" s="340"/>
      <c r="L57" s="340"/>
      <c r="M57" s="340"/>
    </row>
    <row r="58" spans="2:13">
      <c r="B58" s="325"/>
      <c r="C58" s="348"/>
      <c r="D58" s="330"/>
      <c r="F58" s="345" t="s">
        <v>35</v>
      </c>
      <c r="G58" s="339"/>
      <c r="H58" s="339"/>
      <c r="I58" s="339"/>
      <c r="J58" s="339"/>
      <c r="K58" s="339"/>
      <c r="L58" s="339"/>
      <c r="M58" s="339"/>
    </row>
    <row r="59" spans="2:13">
      <c r="B59" s="325"/>
      <c r="C59" s="330"/>
      <c r="D59" s="330"/>
      <c r="F59" s="345"/>
      <c r="G59" s="339"/>
      <c r="H59" s="339"/>
      <c r="I59" s="339"/>
      <c r="J59" s="339"/>
      <c r="K59" s="339"/>
      <c r="L59" s="339"/>
      <c r="M59" s="339"/>
    </row>
    <row r="60" spans="2:13">
      <c r="B60" s="325"/>
      <c r="C60" s="349"/>
      <c r="D60" s="330"/>
      <c r="F60" s="345" t="s">
        <v>36</v>
      </c>
      <c r="G60" s="339"/>
      <c r="H60" s="339"/>
      <c r="I60" s="339"/>
      <c r="J60" s="339"/>
      <c r="K60" s="339"/>
      <c r="L60" s="339"/>
      <c r="M60" s="339"/>
    </row>
    <row r="61" spans="2:13" ht="3.6" customHeight="1">
      <c r="B61" s="325"/>
      <c r="C61" s="330"/>
      <c r="D61" s="330"/>
      <c r="F61" s="346"/>
      <c r="G61" s="339"/>
      <c r="H61" s="339"/>
      <c r="I61" s="339"/>
      <c r="J61" s="339"/>
      <c r="K61" s="339"/>
      <c r="L61" s="339"/>
      <c r="M61" s="339"/>
    </row>
    <row r="62" spans="2:13" ht="15.75">
      <c r="C62" s="337"/>
      <c r="D62" s="337"/>
      <c r="E62" s="337"/>
    </row>
    <row r="63" spans="2:13" ht="15.75">
      <c r="C63" s="337"/>
      <c r="D63" s="337"/>
      <c r="E63" s="337"/>
    </row>
    <row r="64" spans="2:13" ht="23.25">
      <c r="C64" s="341" t="s">
        <v>37</v>
      </c>
      <c r="D64" s="341"/>
    </row>
    <row r="66" spans="3:6">
      <c r="C66" s="325" t="s">
        <v>38</v>
      </c>
      <c r="F66" s="327" t="s">
        <v>39</v>
      </c>
    </row>
    <row r="67" spans="3:6">
      <c r="C67" s="328">
        <v>1</v>
      </c>
      <c r="D67" s="342"/>
      <c r="F67" s="329" t="s">
        <v>40</v>
      </c>
    </row>
    <row r="68" spans="3:6">
      <c r="C68" s="342"/>
      <c r="D68" s="342"/>
      <c r="F68" s="343"/>
    </row>
    <row r="69" spans="3:6">
      <c r="C69" s="342"/>
      <c r="D69" s="342"/>
      <c r="F69" s="344"/>
    </row>
    <row r="70" spans="3:6">
      <c r="C70" s="342"/>
      <c r="D70" s="342"/>
      <c r="F70" s="344"/>
    </row>
    <row r="71" spans="3:6">
      <c r="C71" s="342"/>
      <c r="D71" s="342"/>
      <c r="F71" s="344"/>
    </row>
  </sheetData>
  <mergeCells count="1">
    <mergeCell ref="C1:N1"/>
  </mergeCells>
  <phoneticPr fontId="11" type="noConversion"/>
  <pageMargins left="0.75" right="0.75" top="1" bottom="1" header="0.5" footer="0.5"/>
  <pageSetup paperSize="9" orientation="portrait" horizontalDpi="4294967293"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J85"/>
  <sheetViews>
    <sheetView zoomScale="86" zoomScaleNormal="86" workbookViewId="0">
      <selection activeCell="C11" sqref="C11"/>
    </sheetView>
  </sheetViews>
  <sheetFormatPr defaultColWidth="9.140625" defaultRowHeight="12.75"/>
  <cols>
    <col min="1" max="1" width="53.7109375" style="128" customWidth="1"/>
    <col min="2" max="6" width="14.42578125" style="128" customWidth="1"/>
    <col min="7" max="8" width="9.42578125" style="128" customWidth="1"/>
    <col min="9" max="16384" width="9.140625" style="128"/>
  </cols>
  <sheetData>
    <row r="1" spans="1:10" ht="18">
      <c r="A1" s="130"/>
      <c r="B1" s="131" t="s">
        <v>41</v>
      </c>
      <c r="C1" s="132"/>
      <c r="D1" s="132"/>
      <c r="E1" s="133"/>
      <c r="F1" s="134"/>
    </row>
    <row r="2" spans="1:10">
      <c r="A2" s="135" t="s">
        <v>42</v>
      </c>
      <c r="B2" s="80"/>
      <c r="C2" s="80"/>
      <c r="D2" s="80"/>
      <c r="E2" s="292" t="s">
        <v>43</v>
      </c>
      <c r="F2" s="136">
        <v>44562</v>
      </c>
    </row>
    <row r="3" spans="1:10">
      <c r="A3" s="366"/>
      <c r="B3" s="80"/>
      <c r="C3" s="80"/>
      <c r="D3" s="80"/>
      <c r="E3" s="292" t="s">
        <v>44</v>
      </c>
      <c r="F3" s="137">
        <f ca="1">TODAY()</f>
        <v>44692</v>
      </c>
    </row>
    <row r="4" spans="1:10">
      <c r="A4" s="135" t="s">
        <v>45</v>
      </c>
      <c r="B4" s="80"/>
      <c r="C4" s="80"/>
      <c r="D4" s="80"/>
      <c r="E4" s="292" t="s">
        <v>46</v>
      </c>
      <c r="F4" s="138"/>
    </row>
    <row r="5" spans="1:10">
      <c r="A5" s="366"/>
      <c r="B5" s="80"/>
      <c r="C5" s="80"/>
      <c r="D5" s="80"/>
      <c r="E5" s="292" t="s">
        <v>47</v>
      </c>
      <c r="F5" s="136"/>
    </row>
    <row r="6" spans="1:10">
      <c r="A6" s="135" t="s">
        <v>48</v>
      </c>
      <c r="B6" s="80"/>
      <c r="C6" s="139"/>
      <c r="D6" s="80"/>
      <c r="E6" s="292" t="s">
        <v>49</v>
      </c>
      <c r="F6" s="136"/>
    </row>
    <row r="7" spans="1:10">
      <c r="A7" s="207" t="s">
        <v>50</v>
      </c>
      <c r="B7" s="320" t="s">
        <v>51</v>
      </c>
      <c r="C7" s="141">
        <v>44562</v>
      </c>
      <c r="D7" s="80"/>
      <c r="E7" s="80"/>
      <c r="F7" s="142"/>
    </row>
    <row r="8" spans="1:10">
      <c r="A8" s="140" t="s">
        <v>52</v>
      </c>
      <c r="B8" s="80"/>
      <c r="C8" s="139" t="s">
        <v>53</v>
      </c>
      <c r="D8" s="1" t="s">
        <v>54</v>
      </c>
      <c r="E8" s="80"/>
      <c r="F8" s="142"/>
    </row>
    <row r="9" spans="1:10">
      <c r="A9" s="140" t="s">
        <v>55</v>
      </c>
      <c r="B9" s="80"/>
      <c r="C9" s="199">
        <v>0.6</v>
      </c>
      <c r="D9" s="80"/>
      <c r="E9" s="80"/>
      <c r="F9" s="142"/>
    </row>
    <row r="10" spans="1:10" ht="13.5" thickBot="1">
      <c r="A10" s="143" t="s">
        <v>56</v>
      </c>
      <c r="B10" s="144"/>
      <c r="C10" s="144"/>
      <c r="D10" s="144"/>
      <c r="E10" s="144"/>
      <c r="F10" s="145"/>
      <c r="J10" s="203"/>
    </row>
    <row r="11" spans="1:10" ht="12.75" customHeight="1">
      <c r="A11" s="130"/>
      <c r="B11" s="380"/>
      <c r="C11" s="381"/>
      <c r="D11" s="382" t="str">
        <f>CONCATENATE("Costs and benefits ",$C$8)</f>
        <v>Costs and benefits £k</v>
      </c>
      <c r="E11" s="381"/>
      <c r="F11" s="383"/>
      <c r="J11" s="203"/>
    </row>
    <row r="12" spans="1:10">
      <c r="A12" s="140" t="s">
        <v>57</v>
      </c>
      <c r="B12" s="146" t="str">
        <f>A47</f>
        <v>Do Nothing</v>
      </c>
      <c r="C12" s="146" t="str">
        <f>A48</f>
        <v>Do Minimum</v>
      </c>
      <c r="D12" s="146" t="str">
        <f>A49</f>
        <v>Option 3</v>
      </c>
      <c r="E12" s="146" t="str">
        <f>A50</f>
        <v>Option 4</v>
      </c>
      <c r="F12" s="147" t="str">
        <f>A51</f>
        <v>Option 5</v>
      </c>
      <c r="J12" s="203"/>
    </row>
    <row r="13" spans="1:10">
      <c r="A13" s="80" t="s">
        <v>58</v>
      </c>
      <c r="B13" s="306">
        <v>0.05</v>
      </c>
      <c r="C13" s="306">
        <v>0.05</v>
      </c>
      <c r="D13" s="307">
        <v>5.0000000000000001E-3</v>
      </c>
      <c r="E13" s="307">
        <v>5.0000000000000001E-3</v>
      </c>
      <c r="F13" s="308">
        <v>2.0000000000000001E-4</v>
      </c>
      <c r="J13" s="203"/>
    </row>
    <row r="14" spans="1:10">
      <c r="A14" s="80" t="s">
        <v>59</v>
      </c>
      <c r="B14" s="309">
        <v>0.2</v>
      </c>
      <c r="C14" s="309">
        <v>0.1</v>
      </c>
      <c r="D14" s="310">
        <v>0.01</v>
      </c>
      <c r="E14" s="310">
        <v>0.01</v>
      </c>
      <c r="F14" s="311">
        <v>5.0000000000000001E-3</v>
      </c>
      <c r="J14" s="203"/>
    </row>
    <row r="15" spans="1:10">
      <c r="A15" s="148" t="s">
        <v>60</v>
      </c>
      <c r="B15" s="149"/>
      <c r="C15" s="149"/>
      <c r="D15" s="149"/>
      <c r="E15" s="149"/>
      <c r="F15" s="150"/>
      <c r="J15" s="203"/>
    </row>
    <row r="16" spans="1:10">
      <c r="A16" s="207" t="s">
        <v>61</v>
      </c>
      <c r="B16" s="312">
        <f>'PV Costs'!H12</f>
        <v>0</v>
      </c>
      <c r="C16" s="312">
        <f>'PV Costs'!Q12</f>
        <v>0</v>
      </c>
      <c r="D16" s="312">
        <f>'PV Costs'!Z12</f>
        <v>0</v>
      </c>
      <c r="E16" s="312">
        <f>'PV Costs'!AI12</f>
        <v>0</v>
      </c>
      <c r="F16" s="313">
        <f>'PV Costs'!AR12</f>
        <v>0</v>
      </c>
      <c r="J16" s="203"/>
    </row>
    <row r="17" spans="1:10" ht="13.5" customHeight="1">
      <c r="A17" s="207" t="s">
        <v>62</v>
      </c>
      <c r="B17" s="314">
        <f>'PV Costs'!I12</f>
        <v>0</v>
      </c>
      <c r="C17" s="314">
        <f>'PV Costs'!R12</f>
        <v>0</v>
      </c>
      <c r="D17" s="314">
        <f>'PV Costs'!AA12</f>
        <v>0</v>
      </c>
      <c r="E17" s="314">
        <f>'PV Costs'!AJ12</f>
        <v>0</v>
      </c>
      <c r="F17" s="315">
        <f>'PV Costs'!AS12</f>
        <v>0</v>
      </c>
      <c r="J17" s="203"/>
    </row>
    <row r="18" spans="1:10">
      <c r="A18" s="207" t="s">
        <v>63</v>
      </c>
      <c r="B18" s="314">
        <f>'PV Costs'!J12</f>
        <v>0</v>
      </c>
      <c r="C18" s="314">
        <f>'PV Costs'!S12</f>
        <v>0</v>
      </c>
      <c r="D18" s="314">
        <f>'PV Costs'!AB12</f>
        <v>0</v>
      </c>
      <c r="E18" s="314">
        <f>'PV Costs'!AK12</f>
        <v>0</v>
      </c>
      <c r="F18" s="315">
        <f>'PV Costs'!AT12</f>
        <v>0</v>
      </c>
      <c r="J18" s="203"/>
    </row>
    <row r="19" spans="1:10">
      <c r="A19" s="207" t="s">
        <v>64</v>
      </c>
      <c r="B19" s="314">
        <f>(B16+B17+B18)*($C$9)</f>
        <v>0</v>
      </c>
      <c r="C19" s="314">
        <f>(C16+C17+C18)*($C$9)</f>
        <v>0</v>
      </c>
      <c r="D19" s="314">
        <f>(D16+D17+D18)*($C$9)</f>
        <v>0</v>
      </c>
      <c r="E19" s="314">
        <f>(E16+E17+E18)*($C$9)</f>
        <v>0</v>
      </c>
      <c r="F19" s="316">
        <f>(F16+F17+F18)*($C$9)</f>
        <v>0</v>
      </c>
      <c r="J19"/>
    </row>
    <row r="20" spans="1:10">
      <c r="A20" s="207" t="s">
        <v>65</v>
      </c>
      <c r="B20" s="317">
        <f>'PV Costs'!K12</f>
        <v>0</v>
      </c>
      <c r="C20" s="317">
        <f>'PV Costs'!T12</f>
        <v>0</v>
      </c>
      <c r="D20" s="317">
        <f>'PV Costs'!AC12</f>
        <v>0</v>
      </c>
      <c r="E20" s="317">
        <f>'PV Costs'!AL12</f>
        <v>0</v>
      </c>
      <c r="F20" s="318">
        <f>'PV Costs'!AU12</f>
        <v>0</v>
      </c>
      <c r="J20" s="203"/>
    </row>
    <row r="21" spans="1:10">
      <c r="A21" s="129" t="str">
        <f>CONCATENATE("Total PV Costs ",C8)</f>
        <v>Total PV Costs £k</v>
      </c>
      <c r="B21" s="319">
        <f>B16+B17+B18+B19-B20</f>
        <v>0</v>
      </c>
      <c r="C21" s="319">
        <f>C16+C17+C18+C19-C20</f>
        <v>0</v>
      </c>
      <c r="D21" s="319">
        <f>D16+D17+D18+D19-D20</f>
        <v>0</v>
      </c>
      <c r="E21" s="319">
        <f>E16+E17+E18+E19-E20</f>
        <v>0</v>
      </c>
      <c r="F21" s="319">
        <f>F16+F17+F18+F19-F20</f>
        <v>0</v>
      </c>
      <c r="J21"/>
    </row>
    <row r="22" spans="1:10">
      <c r="A22" s="154" t="s">
        <v>66</v>
      </c>
      <c r="B22" s="149"/>
      <c r="C22" s="149"/>
      <c r="D22" s="149"/>
      <c r="E22" s="149"/>
      <c r="F22" s="155"/>
      <c r="J22"/>
    </row>
    <row r="23" spans="1:10">
      <c r="A23" s="207" t="s">
        <v>67</v>
      </c>
      <c r="B23" s="314">
        <f>'Annual Average Damage'!L17</f>
        <v>0</v>
      </c>
      <c r="C23" s="314"/>
      <c r="D23" s="314"/>
      <c r="E23" s="314"/>
      <c r="F23" s="316"/>
      <c r="J23"/>
    </row>
    <row r="24" spans="1:10">
      <c r="A24" s="207" t="s">
        <v>68</v>
      </c>
      <c r="B24" s="314">
        <f>'Annual Average Damage'!L18</f>
        <v>0</v>
      </c>
      <c r="C24" s="314"/>
      <c r="D24" s="314"/>
      <c r="E24" s="314"/>
      <c r="F24" s="316"/>
      <c r="J24"/>
    </row>
    <row r="25" spans="1:10">
      <c r="A25" s="207" t="s">
        <v>69</v>
      </c>
      <c r="B25" s="314">
        <f>'Annual Average Damage'!L24</f>
        <v>0</v>
      </c>
      <c r="C25" s="314"/>
      <c r="D25" s="314"/>
      <c r="E25" s="314"/>
      <c r="F25" s="316"/>
    </row>
    <row r="26" spans="1:10">
      <c r="A26" s="207" t="s">
        <v>70</v>
      </c>
      <c r="B26" s="314">
        <f>'Annual Average Damage'!L25</f>
        <v>0</v>
      </c>
      <c r="C26" s="314"/>
      <c r="D26" s="314"/>
      <c r="E26" s="314"/>
      <c r="F26" s="316"/>
    </row>
    <row r="27" spans="1:10">
      <c r="A27" s="207" t="s">
        <v>71</v>
      </c>
      <c r="B27" s="314">
        <f>'Annual Average Damage'!L19</f>
        <v>0</v>
      </c>
      <c r="C27" s="314"/>
      <c r="D27" s="314"/>
      <c r="E27" s="314"/>
      <c r="F27" s="316"/>
    </row>
    <row r="28" spans="1:10">
      <c r="A28" s="207" t="s">
        <v>72</v>
      </c>
      <c r="B28" s="314">
        <f>'Annual Average Damage'!L26</f>
        <v>0</v>
      </c>
      <c r="C28" s="314"/>
      <c r="D28" s="314"/>
      <c r="E28" s="314"/>
      <c r="F28" s="316"/>
    </row>
    <row r="29" spans="1:10">
      <c r="A29" s="207" t="s">
        <v>73</v>
      </c>
      <c r="B29" s="314"/>
      <c r="C29" s="314"/>
      <c r="D29" s="314"/>
      <c r="E29" s="314"/>
      <c r="F29" s="316"/>
    </row>
    <row r="30" spans="1:10">
      <c r="A30" s="207" t="s">
        <v>74</v>
      </c>
      <c r="B30" s="314"/>
      <c r="C30" s="314"/>
      <c r="D30" s="314"/>
      <c r="E30" s="314"/>
      <c r="F30" s="316"/>
    </row>
    <row r="31" spans="1:10">
      <c r="A31" s="207" t="s">
        <v>75</v>
      </c>
      <c r="B31" s="314"/>
      <c r="C31" s="314"/>
      <c r="D31" s="314"/>
      <c r="E31" s="314"/>
      <c r="F31" s="316"/>
    </row>
    <row r="32" spans="1:10">
      <c r="A32" s="207" t="s">
        <v>76</v>
      </c>
      <c r="B32" s="314"/>
      <c r="C32" s="314"/>
      <c r="D32" s="314"/>
      <c r="E32" s="314"/>
      <c r="F32" s="316"/>
    </row>
    <row r="33" spans="1:7" ht="12" customHeight="1">
      <c r="A33" s="207"/>
      <c r="B33" s="314"/>
      <c r="C33" s="314"/>
      <c r="D33" s="314"/>
      <c r="E33" s="314"/>
      <c r="F33" s="316"/>
    </row>
    <row r="34" spans="1:7" ht="12" customHeight="1">
      <c r="A34" s="129" t="str">
        <f>CONCATENATE("Total PV damages ",C8)</f>
        <v>Total PV damages £k</v>
      </c>
      <c r="B34" s="319">
        <f>SUM(B23:B33)</f>
        <v>0</v>
      </c>
      <c r="C34" s="319">
        <f t="shared" ref="C34:F34" si="0">SUM(C23:C33)</f>
        <v>0</v>
      </c>
      <c r="D34" s="319">
        <f t="shared" si="0"/>
        <v>0</v>
      </c>
      <c r="E34" s="319">
        <f t="shared" si="0"/>
        <v>0</v>
      </c>
      <c r="F34" s="319">
        <f t="shared" si="0"/>
        <v>0</v>
      </c>
    </row>
    <row r="35" spans="1:7" ht="12" customHeight="1">
      <c r="A35" s="207" t="s">
        <v>77</v>
      </c>
      <c r="B35" s="157"/>
      <c r="C35" s="314"/>
      <c r="D35" s="314"/>
      <c r="E35" s="314"/>
      <c r="F35" s="314"/>
      <c r="G35"/>
    </row>
    <row r="36" spans="1:7" ht="12" customHeight="1">
      <c r="A36" s="207" t="s">
        <v>78</v>
      </c>
      <c r="B36" s="157"/>
      <c r="C36" s="314"/>
      <c r="D36" s="314"/>
      <c r="E36" s="314"/>
      <c r="F36" s="314"/>
      <c r="G36"/>
    </row>
    <row r="37" spans="1:7" ht="12" customHeight="1">
      <c r="A37" s="129" t="str">
        <f>CONCATENATE("Total PV benefits including damages avoided  ",C8)</f>
        <v>Total PV benefits including damages avoided  £k</v>
      </c>
      <c r="B37" s="157"/>
      <c r="C37" s="153">
        <f>($B$34-C34)+C35+C36</f>
        <v>0</v>
      </c>
      <c r="D37" s="153">
        <f t="shared" ref="D37:F37" si="1">($B$34-D34)+D35+D36</f>
        <v>0</v>
      </c>
      <c r="E37" s="153">
        <f t="shared" si="1"/>
        <v>0</v>
      </c>
      <c r="F37" s="153">
        <f t="shared" si="1"/>
        <v>0</v>
      </c>
    </row>
    <row r="38" spans="1:7">
      <c r="A38" s="154" t="s">
        <v>79</v>
      </c>
      <c r="B38" s="158"/>
      <c r="C38" s="158"/>
      <c r="D38" s="158"/>
      <c r="E38" s="158"/>
      <c r="F38" s="159"/>
    </row>
    <row r="39" spans="1:7">
      <c r="A39" s="207"/>
      <c r="B39" s="192"/>
      <c r="C39" s="192"/>
      <c r="D39" s="192"/>
      <c r="E39" s="192"/>
      <c r="F39" s="193"/>
    </row>
    <row r="40" spans="1:7">
      <c r="A40" s="207" t="s">
        <v>80</v>
      </c>
      <c r="B40" s="156"/>
      <c r="C40" s="151">
        <f>C37-C21</f>
        <v>0</v>
      </c>
      <c r="D40" s="151">
        <f t="shared" ref="D40:F40" si="2">D37-D21</f>
        <v>0</v>
      </c>
      <c r="E40" s="151">
        <f t="shared" si="2"/>
        <v>0</v>
      </c>
      <c r="F40" s="152">
        <f t="shared" si="2"/>
        <v>0</v>
      </c>
    </row>
    <row r="41" spans="1:7">
      <c r="A41" s="207" t="s">
        <v>81</v>
      </c>
      <c r="B41" s="156"/>
      <c r="C41" s="209" t="e">
        <f>C37/C21</f>
        <v>#DIV/0!</v>
      </c>
      <c r="D41" s="209" t="e">
        <f t="shared" ref="D41:F41" si="3">D37/D21</f>
        <v>#DIV/0!</v>
      </c>
      <c r="E41" s="209" t="e">
        <f t="shared" si="3"/>
        <v>#DIV/0!</v>
      </c>
      <c r="F41" s="210" t="e">
        <f t="shared" si="3"/>
        <v>#DIV/0!</v>
      </c>
      <c r="G41"/>
    </row>
    <row r="42" spans="1:7">
      <c r="A42" s="207" t="s">
        <v>82</v>
      </c>
      <c r="B42" s="156"/>
      <c r="C42" s="164"/>
      <c r="D42" s="165" t="e">
        <f>(D37-C37)/(D21-C21)</f>
        <v>#DIV/0!</v>
      </c>
      <c r="E42" s="165" t="e">
        <f t="shared" ref="E42:F42" si="4">(E37-D37)/(E21-D21)</f>
        <v>#DIV/0!</v>
      </c>
      <c r="F42" s="166" t="e">
        <f t="shared" si="4"/>
        <v>#DIV/0!</v>
      </c>
      <c r="G42" s="305" t="s">
        <v>83</v>
      </c>
    </row>
    <row r="43" spans="1:7">
      <c r="A43" s="207"/>
      <c r="B43" s="192"/>
      <c r="C43" s="194" t="str">
        <f>IF(C40=MAX($C$40:$F$40),"Max NPV","")</f>
        <v>Max NPV</v>
      </c>
      <c r="D43" s="194" t="str">
        <f t="shared" ref="D43:F43" si="5">IF(D40=MAX($C$40:$F$40),"Max NPV","")</f>
        <v>Max NPV</v>
      </c>
      <c r="E43" s="194" t="str">
        <f t="shared" si="5"/>
        <v>Max NPV</v>
      </c>
      <c r="F43" s="211" t="str">
        <f t="shared" si="5"/>
        <v>Max NPV</v>
      </c>
    </row>
    <row r="44" spans="1:7" ht="14.25" customHeight="1" thickBot="1">
      <c r="A44" s="292"/>
      <c r="B44" s="160"/>
      <c r="C44" s="198" t="e">
        <f>IF(C41=MAX($C$41:$F$41),"Max BCR","")</f>
        <v>#DIV/0!</v>
      </c>
      <c r="D44" s="198" t="e">
        <f t="shared" ref="D44:F44" si="6">IF(D41=MAX($C$41:$F$41),"Max BCR","")</f>
        <v>#DIV/0!</v>
      </c>
      <c r="E44" s="198" t="e">
        <f t="shared" si="6"/>
        <v>#DIV/0!</v>
      </c>
      <c r="F44" s="212" t="e">
        <f t="shared" si="6"/>
        <v>#DIV/0!</v>
      </c>
    </row>
    <row r="45" spans="1:7">
      <c r="A45" s="133"/>
      <c r="B45" s="133"/>
      <c r="C45" s="195"/>
      <c r="D45" s="195"/>
      <c r="E45" s="195"/>
      <c r="F45" s="196"/>
    </row>
    <row r="46" spans="1:7">
      <c r="A46" s="162" t="s">
        <v>84</v>
      </c>
      <c r="B46" s="80"/>
      <c r="C46" s="161"/>
      <c r="D46" s="161"/>
      <c r="E46" s="161"/>
      <c r="F46" s="197"/>
      <c r="G46"/>
    </row>
    <row r="47" spans="1:7">
      <c r="A47" s="208" t="s">
        <v>85</v>
      </c>
      <c r="F47" s="384"/>
    </row>
    <row r="48" spans="1:7">
      <c r="A48" s="128" t="s">
        <v>86</v>
      </c>
      <c r="F48" s="384"/>
    </row>
    <row r="49" spans="1:7" ht="14.25" customHeight="1">
      <c r="A49" s="208" t="s">
        <v>87</v>
      </c>
      <c r="F49" s="384"/>
    </row>
    <row r="50" spans="1:7">
      <c r="A50" s="208" t="s">
        <v>88</v>
      </c>
      <c r="F50" s="384"/>
    </row>
    <row r="51" spans="1:7">
      <c r="A51" s="208" t="s">
        <v>89</v>
      </c>
      <c r="F51" s="384"/>
    </row>
    <row r="52" spans="1:7">
      <c r="A52" s="84"/>
      <c r="B52" s="163"/>
      <c r="C52" s="80"/>
      <c r="D52" s="80"/>
      <c r="E52" s="80"/>
      <c r="F52" s="142"/>
      <c r="G52"/>
    </row>
    <row r="53" spans="1:7">
      <c r="A53" s="84"/>
      <c r="B53" s="80"/>
      <c r="C53" s="80"/>
      <c r="D53" s="80"/>
      <c r="E53" s="80"/>
      <c r="F53" s="142"/>
      <c r="G53"/>
    </row>
    <row r="54" spans="1:7" ht="13.5" thickBot="1">
      <c r="A54" s="376" t="s">
        <v>90</v>
      </c>
      <c r="B54" s="80"/>
      <c r="C54" s="80"/>
      <c r="D54" s="80"/>
      <c r="E54" s="80"/>
      <c r="F54" s="142"/>
    </row>
    <row r="55" spans="1:7">
      <c r="A55" s="367"/>
      <c r="B55" s="368"/>
      <c r="C55" s="368"/>
      <c r="D55" s="368"/>
      <c r="E55" s="368"/>
      <c r="F55" s="369"/>
    </row>
    <row r="56" spans="1:7" ht="14.25" customHeight="1">
      <c r="A56" s="370"/>
      <c r="B56" s="371"/>
      <c r="C56" s="371"/>
      <c r="D56" s="371"/>
      <c r="E56" s="371"/>
      <c r="F56" s="372"/>
    </row>
    <row r="57" spans="1:7">
      <c r="A57" s="370"/>
      <c r="B57" s="371"/>
      <c r="C57" s="371"/>
      <c r="D57" s="371"/>
      <c r="E57" s="371"/>
      <c r="F57" s="372"/>
    </row>
    <row r="58" spans="1:7">
      <c r="A58" s="370"/>
      <c r="B58" s="371"/>
      <c r="C58" s="371"/>
      <c r="D58" s="371"/>
      <c r="E58" s="371"/>
      <c r="F58" s="372"/>
    </row>
    <row r="59" spans="1:7">
      <c r="A59" s="370"/>
      <c r="B59" s="371"/>
      <c r="C59" s="371"/>
      <c r="D59" s="371"/>
      <c r="E59" s="371"/>
      <c r="F59" s="372"/>
      <c r="G59"/>
    </row>
    <row r="60" spans="1:7">
      <c r="A60" s="370"/>
      <c r="B60" s="371"/>
      <c r="C60" s="371"/>
      <c r="D60" s="371"/>
      <c r="E60" s="371"/>
      <c r="F60" s="372"/>
    </row>
    <row r="61" spans="1:7">
      <c r="A61" s="370"/>
      <c r="B61" s="371"/>
      <c r="C61" s="371"/>
      <c r="D61" s="371"/>
      <c r="E61" s="371"/>
      <c r="F61" s="372"/>
    </row>
    <row r="62" spans="1:7" ht="14.25" customHeight="1">
      <c r="A62" s="370"/>
      <c r="B62" s="371"/>
      <c r="C62" s="371"/>
      <c r="D62" s="371"/>
      <c r="E62" s="371"/>
      <c r="F62" s="372"/>
    </row>
    <row r="63" spans="1:7" ht="13.5" thickBot="1">
      <c r="A63" s="373"/>
      <c r="B63" s="374"/>
      <c r="C63" s="374"/>
      <c r="D63" s="374"/>
      <c r="E63" s="374"/>
      <c r="F63" s="375"/>
    </row>
    <row r="64" spans="1:7">
      <c r="A64" s="80"/>
      <c r="B64" s="80"/>
      <c r="C64" s="80"/>
      <c r="D64" s="80"/>
      <c r="E64" s="80"/>
      <c r="F64" s="80"/>
    </row>
    <row r="68" ht="12.75" customHeight="1"/>
    <row r="69" ht="12.75" customHeight="1"/>
    <row r="70" ht="12.75" customHeight="1"/>
    <row r="71" ht="12.75" customHeight="1"/>
    <row r="72" ht="12.75" customHeight="1"/>
    <row r="73" ht="12.75" customHeight="1"/>
    <row r="74" ht="12.75" customHeight="1"/>
    <row r="75" ht="12.75" customHeight="1"/>
    <row r="76" ht="14.25" customHeight="1"/>
    <row r="77" ht="12.75" customHeight="1"/>
    <row r="78" ht="12.75" customHeight="1"/>
    <row r="79" ht="25.5" customHeight="1"/>
    <row r="80" ht="12.75" customHeight="1"/>
    <row r="81" ht="12.75" customHeight="1"/>
    <row r="82" ht="12.75" customHeight="1"/>
    <row r="83" ht="12.75" customHeight="1"/>
    <row r="84" ht="12.75" customHeight="1"/>
    <row r="85" ht="12.75" customHeight="1"/>
  </sheetData>
  <phoneticPr fontId="11" type="noConversion"/>
  <dataValidations count="1">
    <dataValidation type="list" allowBlank="1" showInputMessage="1" showErrorMessage="1" sqref="C8" xr:uid="{00000000-0002-0000-0100-000000000000}">
      <formula1>"£,£k,£m"</formula1>
    </dataValidation>
  </dataValidations>
  <printOptions gridLines="1" gridLinesSet="0"/>
  <pageMargins left="0.74803149606299213" right="0.74803149606299213" top="0.98425196850393704" bottom="0.98425196850393704" header="0.51181102362204722" footer="0.51181102362204722"/>
  <pageSetup paperSize="9" scale="49" orientation="landscape" horizontalDpi="300" verticalDpi="300" r:id="rId1"/>
  <headerFooter alignWithMargins="0">
    <oddHeader>&amp;LFCDPAG3&amp;C&amp;A</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205"/>
  <sheetViews>
    <sheetView showGridLines="0" tabSelected="1" zoomScaleNormal="100" workbookViewId="0">
      <selection activeCell="E1" sqref="E1"/>
    </sheetView>
  </sheetViews>
  <sheetFormatPr defaultRowHeight="12.75"/>
  <cols>
    <col min="1" max="1" width="16.42578125" customWidth="1"/>
    <col min="2" max="2" width="13" customWidth="1"/>
    <col min="4" max="4" width="10.140625" customWidth="1"/>
    <col min="12" max="12" width="13.28515625" customWidth="1"/>
    <col min="25" max="26" width="9.28515625" customWidth="1"/>
    <col min="27" max="27" width="4" bestFit="1" customWidth="1"/>
    <col min="28" max="28" width="5.5703125" bestFit="1" customWidth="1"/>
    <col min="29" max="29" width="6.5703125" bestFit="1" customWidth="1"/>
    <col min="30" max="30" width="5.5703125" bestFit="1" customWidth="1"/>
    <col min="31" max="31" width="6.5703125" bestFit="1" customWidth="1"/>
    <col min="32" max="32" width="11.42578125" bestFit="1" customWidth="1"/>
  </cols>
  <sheetData>
    <row r="1" spans="1:31" ht="18">
      <c r="A1" s="6"/>
      <c r="B1" s="2"/>
      <c r="C1" s="23"/>
      <c r="D1" s="23"/>
      <c r="E1" s="410" t="s">
        <v>91</v>
      </c>
      <c r="F1" s="2"/>
      <c r="G1" s="2"/>
      <c r="H1" s="2"/>
      <c r="I1" s="2"/>
      <c r="J1" s="75" t="s">
        <v>92</v>
      </c>
      <c r="K1" s="68"/>
      <c r="L1" s="8"/>
    </row>
    <row r="2" spans="1:31">
      <c r="A2" s="20" t="s">
        <v>42</v>
      </c>
      <c r="B2" s="1"/>
      <c r="C2" s="1"/>
      <c r="D2" s="1"/>
      <c r="E2" s="1"/>
      <c r="F2" s="1"/>
      <c r="G2" s="1"/>
      <c r="H2" s="1"/>
      <c r="I2" s="1"/>
      <c r="J2" s="1"/>
      <c r="K2" s="1"/>
      <c r="L2" s="9"/>
      <c r="AB2" s="400"/>
      <c r="AC2" s="401"/>
      <c r="AD2" s="400"/>
      <c r="AE2" s="401"/>
    </row>
    <row r="3" spans="1:31">
      <c r="A3" s="365">
        <f>Summary!A3</f>
        <v>0</v>
      </c>
      <c r="B3" s="201"/>
      <c r="C3" s="201"/>
      <c r="D3" s="201"/>
      <c r="E3" s="1"/>
      <c r="F3" s="1"/>
      <c r="G3" s="1"/>
      <c r="H3" s="1"/>
      <c r="I3" s="1"/>
      <c r="J3" s="1"/>
      <c r="K3" s="1"/>
      <c r="L3" s="9"/>
      <c r="AA3" s="54"/>
      <c r="AB3" s="55"/>
      <c r="AC3" s="55"/>
      <c r="AD3" s="55"/>
      <c r="AE3" s="55"/>
    </row>
    <row r="4" spans="1:31">
      <c r="A4" s="20" t="s">
        <v>45</v>
      </c>
      <c r="B4" s="1"/>
      <c r="C4" s="1"/>
      <c r="D4" s="1"/>
      <c r="E4" s="1"/>
      <c r="F4" s="26" t="s">
        <v>93</v>
      </c>
      <c r="G4" s="1"/>
      <c r="H4" s="1"/>
      <c r="I4" s="1"/>
      <c r="J4" s="1"/>
      <c r="K4" s="1"/>
      <c r="L4" s="9"/>
      <c r="AA4" s="54"/>
      <c r="AB4" s="55"/>
      <c r="AC4" s="55"/>
      <c r="AD4" s="55"/>
      <c r="AE4" s="55"/>
    </row>
    <row r="5" spans="1:31">
      <c r="A5" s="365">
        <f>Summary!A5</f>
        <v>0</v>
      </c>
      <c r="B5" s="201"/>
      <c r="C5" s="201"/>
      <c r="D5" s="201"/>
      <c r="E5" s="1"/>
      <c r="F5" t="str">
        <f>Summary!B12</f>
        <v>Do Nothing</v>
      </c>
      <c r="K5" s="1"/>
      <c r="L5" s="9"/>
      <c r="AA5" s="54"/>
      <c r="AB5" s="55"/>
      <c r="AC5" s="55"/>
      <c r="AD5" s="55"/>
      <c r="AE5" s="55"/>
    </row>
    <row r="6" spans="1:31">
      <c r="A6" s="20" t="s">
        <v>48</v>
      </c>
      <c r="B6" s="1"/>
      <c r="C6" s="74"/>
      <c r="D6" s="64">
        <f>Summary!C6</f>
        <v>0</v>
      </c>
      <c r="E6" s="1"/>
      <c r="F6" s="1"/>
      <c r="G6" s="1"/>
      <c r="H6" s="1"/>
      <c r="I6" s="1"/>
      <c r="J6" s="1"/>
      <c r="K6" s="1"/>
      <c r="L6" s="9"/>
      <c r="AA6" s="54"/>
      <c r="AB6" s="55"/>
      <c r="AC6" s="55"/>
      <c r="AD6" s="55"/>
      <c r="AE6" s="55"/>
    </row>
    <row r="7" spans="1:31">
      <c r="A7" s="3" t="s">
        <v>50</v>
      </c>
      <c r="B7" s="1"/>
      <c r="C7" s="1"/>
      <c r="D7" s="72">
        <f>Summary!C7</f>
        <v>44562</v>
      </c>
      <c r="E7" s="1"/>
      <c r="F7" s="1" t="s">
        <v>94</v>
      </c>
      <c r="G7" s="1"/>
      <c r="H7" s="1"/>
      <c r="I7" s="86">
        <v>0</v>
      </c>
      <c r="J7" s="1" t="s">
        <v>43</v>
      </c>
      <c r="K7" s="1"/>
      <c r="L7" s="71">
        <f>Summary!F2</f>
        <v>44562</v>
      </c>
      <c r="P7" s="126"/>
      <c r="AA7" s="54"/>
      <c r="AB7" s="55"/>
      <c r="AC7" s="55"/>
      <c r="AD7" s="55"/>
      <c r="AE7" s="55"/>
    </row>
    <row r="8" spans="1:31">
      <c r="A8" s="3" t="s">
        <v>52</v>
      </c>
      <c r="B8" s="1"/>
      <c r="C8" s="1"/>
      <c r="D8" s="59" t="str">
        <f>Summary!C8</f>
        <v>£k</v>
      </c>
      <c r="E8" s="1"/>
      <c r="F8" s="1" t="s">
        <v>95</v>
      </c>
      <c r="G8" s="1"/>
      <c r="H8" s="1"/>
      <c r="I8" s="86">
        <v>99</v>
      </c>
      <c r="J8" s="1" t="s">
        <v>44</v>
      </c>
      <c r="K8" s="1"/>
      <c r="L8" s="71">
        <f ca="1">Summary!F3</f>
        <v>44692</v>
      </c>
      <c r="AA8" s="54"/>
      <c r="AB8" s="55"/>
      <c r="AC8" s="55"/>
      <c r="AD8" s="55"/>
      <c r="AE8" s="55"/>
    </row>
    <row r="9" spans="1:31">
      <c r="A9" s="221"/>
      <c r="B9" s="15"/>
      <c r="C9" s="15"/>
      <c r="D9" s="15"/>
      <c r="E9" s="14"/>
      <c r="F9" s="216" t="s">
        <v>96</v>
      </c>
      <c r="G9" s="1"/>
      <c r="H9" s="1"/>
      <c r="I9" s="217">
        <f>VLOOKUP(I8,Metadata!$A$23:$D$122,4)-VLOOKUP(I7,Metadata!$A$23:$D$122,4)+VLOOKUP(I7,Metadata!$A$23:$D$122,3)</f>
        <v>29.812545333317857</v>
      </c>
      <c r="J9" s="216" t="s">
        <v>46</v>
      </c>
      <c r="K9" s="1"/>
      <c r="L9" s="181">
        <f>Summary!F4</f>
        <v>0</v>
      </c>
      <c r="P9" s="125"/>
      <c r="AA9" s="54"/>
      <c r="AB9" s="55"/>
      <c r="AC9" s="55"/>
      <c r="AD9" s="55"/>
      <c r="AE9" s="55"/>
    </row>
    <row r="10" spans="1:31">
      <c r="A10" s="3"/>
      <c r="B10" s="24"/>
      <c r="C10" s="24"/>
      <c r="D10" s="24"/>
      <c r="E10" s="24"/>
      <c r="F10" s="216" t="s">
        <v>97</v>
      </c>
      <c r="G10" s="1"/>
      <c r="H10" s="1"/>
      <c r="I10" s="217">
        <f>VLOOKUP(I8,Metadata!$A$23:$H$122,8)-VLOOKUP(I7,Metadata!$A$23:$H$122,8)+VLOOKUP(I7,Metadata!$A$23:$H$122,7)</f>
        <v>54.354028673985617</v>
      </c>
      <c r="J10" s="216" t="s">
        <v>47</v>
      </c>
      <c r="K10" s="1"/>
      <c r="L10" s="181">
        <f>Summary!F5</f>
        <v>0</v>
      </c>
      <c r="AA10" s="54"/>
      <c r="AB10" s="55"/>
      <c r="AC10" s="55"/>
      <c r="AD10" s="55"/>
      <c r="AE10" s="55"/>
    </row>
    <row r="11" spans="1:31" ht="13.5" thickBot="1">
      <c r="A11" s="3" t="s">
        <v>98</v>
      </c>
      <c r="B11" s="24"/>
      <c r="C11" s="24"/>
      <c r="D11" s="53">
        <v>0</v>
      </c>
      <c r="E11" s="24"/>
      <c r="F11" s="15"/>
      <c r="G11" s="25"/>
      <c r="H11" s="1"/>
      <c r="I11" s="1"/>
      <c r="J11" s="216" t="s">
        <v>49</v>
      </c>
      <c r="K11" s="1"/>
      <c r="L11" s="181">
        <f>Summary!F6</f>
        <v>0</v>
      </c>
      <c r="AA11" s="54"/>
      <c r="AB11" s="55"/>
      <c r="AC11" s="55"/>
      <c r="AD11" s="55"/>
      <c r="AE11" s="55"/>
    </row>
    <row r="12" spans="1:31" ht="13.5" thickBot="1">
      <c r="A12" s="6"/>
      <c r="B12" s="2"/>
      <c r="C12" s="87" t="s">
        <v>99</v>
      </c>
      <c r="D12" s="87"/>
      <c r="E12" s="87"/>
      <c r="F12" s="87"/>
      <c r="G12" s="87"/>
      <c r="H12" s="87"/>
      <c r="I12" s="87"/>
      <c r="J12" s="87"/>
      <c r="K12" s="87"/>
      <c r="L12" s="88" t="s">
        <v>100</v>
      </c>
      <c r="AA12" s="54"/>
      <c r="AB12" s="55"/>
      <c r="AC12" s="55"/>
      <c r="AD12" s="55"/>
      <c r="AE12" s="55"/>
    </row>
    <row r="13" spans="1:31">
      <c r="A13" s="3"/>
      <c r="B13" s="1"/>
      <c r="C13" s="30">
        <v>2</v>
      </c>
      <c r="D13" s="30">
        <v>5</v>
      </c>
      <c r="E13" s="30">
        <v>10</v>
      </c>
      <c r="F13" s="30">
        <v>20</v>
      </c>
      <c r="G13" s="30">
        <v>50</v>
      </c>
      <c r="H13" s="30">
        <v>75</v>
      </c>
      <c r="I13" s="30">
        <v>100</v>
      </c>
      <c r="J13" s="30">
        <v>200</v>
      </c>
      <c r="K13" s="167" t="s">
        <v>101</v>
      </c>
      <c r="L13" s="89" t="str">
        <f>D8</f>
        <v>£k</v>
      </c>
      <c r="N13" s="205"/>
      <c r="O13" s="203"/>
      <c r="AA13" s="54"/>
      <c r="AB13" s="55"/>
      <c r="AC13" s="55"/>
      <c r="AD13" s="55"/>
      <c r="AE13" s="55"/>
    </row>
    <row r="14" spans="1:31" ht="13.5" thickBot="1">
      <c r="A14" s="3"/>
      <c r="B14" s="1"/>
      <c r="C14" s="90">
        <f t="shared" ref="C14:J14" si="0">1/C13</f>
        <v>0.5</v>
      </c>
      <c r="D14" s="90">
        <f t="shared" si="0"/>
        <v>0.2</v>
      </c>
      <c r="E14" s="90">
        <f t="shared" si="0"/>
        <v>0.1</v>
      </c>
      <c r="F14" s="90">
        <f t="shared" si="0"/>
        <v>0.05</v>
      </c>
      <c r="G14" s="90">
        <f t="shared" si="0"/>
        <v>0.02</v>
      </c>
      <c r="H14" s="90">
        <f t="shared" si="0"/>
        <v>1.3333333333333334E-2</v>
      </c>
      <c r="I14" s="90">
        <f t="shared" si="0"/>
        <v>0.01</v>
      </c>
      <c r="J14" s="90">
        <f t="shared" si="0"/>
        <v>5.0000000000000001E-3</v>
      </c>
      <c r="K14" s="91">
        <v>0</v>
      </c>
      <c r="L14" s="92"/>
      <c r="O14" s="203"/>
      <c r="AA14" s="54"/>
      <c r="AB14" s="55"/>
      <c r="AC14" s="55"/>
      <c r="AD14" s="55"/>
      <c r="AE14" s="55"/>
    </row>
    <row r="15" spans="1:31">
      <c r="A15" s="93" t="s">
        <v>102</v>
      </c>
      <c r="B15" s="94"/>
      <c r="C15" s="14" t="str">
        <f>CONCATENATE("Damage ",D8)</f>
        <v>Damage £k</v>
      </c>
      <c r="D15" s="14"/>
      <c r="E15" s="14"/>
      <c r="F15" s="14"/>
      <c r="G15" s="14"/>
      <c r="H15" s="14"/>
      <c r="I15" s="14"/>
      <c r="J15" s="14"/>
      <c r="K15" s="14"/>
      <c r="L15" s="95"/>
      <c r="O15" s="203"/>
      <c r="AA15" s="54"/>
      <c r="AB15" s="55"/>
      <c r="AC15" s="55"/>
      <c r="AD15" s="55"/>
      <c r="AE15" s="55"/>
    </row>
    <row r="16" spans="1:31">
      <c r="A16" s="215" t="s">
        <v>103</v>
      </c>
      <c r="B16" s="94"/>
      <c r="C16" s="14"/>
      <c r="D16" s="14"/>
      <c r="E16" s="14"/>
      <c r="F16" s="14"/>
      <c r="G16" s="14"/>
      <c r="H16" s="14"/>
      <c r="I16" s="14"/>
      <c r="J16" s="14"/>
      <c r="K16" s="14"/>
      <c r="L16" s="95"/>
      <c r="O16" s="203"/>
      <c r="AA16" s="54"/>
      <c r="AB16" s="55"/>
      <c r="AC16" s="55"/>
      <c r="AD16" s="55"/>
      <c r="AE16" s="55"/>
    </row>
    <row r="17" spans="1:31" ht="14.25">
      <c r="A17" s="96" t="s">
        <v>104</v>
      </c>
      <c r="C17" s="222">
        <v>0</v>
      </c>
      <c r="D17" s="218"/>
      <c r="E17" s="218"/>
      <c r="F17" s="218"/>
      <c r="G17" s="218"/>
      <c r="H17" s="218"/>
      <c r="I17" s="218"/>
      <c r="J17" s="218"/>
      <c r="K17" s="222">
        <f t="shared" ref="K17:K18" si="1">J17+(J17-I17)*(J$14-K$14)/(I$14-J$14)</f>
        <v>0</v>
      </c>
      <c r="L17" s="97">
        <f>(($C$14-$D$14)*(C17+D17)++($D$14-$E$14)*(D17+E17)+($E$14-$F$14)*(E17+F17)+($F$14-$G$14)*(F17+G17)+($G$14-$H$14)*(G17+H17)+($H$14-$I$14)*(H17+I17)+($I$14-$J$14)*(I17+J17)+($J$14-$K$14)*(J17+K17)+$K$14*K17)*$I$9/2</f>
        <v>0</v>
      </c>
      <c r="O17" s="204"/>
      <c r="AA17" s="54"/>
      <c r="AB17" s="55"/>
      <c r="AC17" s="55"/>
      <c r="AD17" s="55"/>
      <c r="AE17" s="55"/>
    </row>
    <row r="18" spans="1:31">
      <c r="A18" s="213" t="s">
        <v>105</v>
      </c>
      <c r="C18" s="222">
        <v>0</v>
      </c>
      <c r="D18" s="218"/>
      <c r="E18" s="218"/>
      <c r="F18" s="218"/>
      <c r="G18" s="218"/>
      <c r="H18" s="218"/>
      <c r="I18" s="218"/>
      <c r="J18" s="218"/>
      <c r="K18" s="222">
        <f t="shared" si="1"/>
        <v>0</v>
      </c>
      <c r="L18" s="97">
        <f>(($C$14-$D$14)*(C18+D18)+($D$14-$E$14)*(D18+E18)+($E$14-$F$14)*(E18+F18)+($F$14-$G$14)*(F18+G18)+($G$14-$H$14)*(G18+H18)+($H$14-$I$14)*(H18+I18)+($I$14-$J$14)*(I18+J18)+($J$14-$K$14)*(J18+K18)+$K$14*K18)*$I$9/2</f>
        <v>0</v>
      </c>
      <c r="AA18" s="54"/>
      <c r="AB18" s="55"/>
      <c r="AC18" s="55"/>
      <c r="AD18" s="55"/>
      <c r="AE18" s="55"/>
    </row>
    <row r="19" spans="1:31">
      <c r="A19" s="213" t="s">
        <v>106</v>
      </c>
      <c r="C19" s="222">
        <v>0</v>
      </c>
      <c r="D19" s="218"/>
      <c r="E19" s="218"/>
      <c r="F19" s="218"/>
      <c r="G19" s="218"/>
      <c r="H19" s="218"/>
      <c r="I19" s="218"/>
      <c r="J19" s="218"/>
      <c r="K19" s="222">
        <f>J19+(J19-I19)*(J$14-K$14)/(I$14-J$14)</f>
        <v>0</v>
      </c>
      <c r="L19" s="97">
        <f>(($C$14-$D$14)*(C19+D19)+($D$14-$E$14)*(D19+E19)+($E$14-$F$14)*(E19+F19)+($F$14-$G$14)*(F19+G19)+($G$14-$H$14)*(G19+H19)+($H$14-$I$14)*(H19+I19)+($I$14-$J$14)*(I19+J19)+($J$14-$K$14)*(J19+K19)+$K$14*K19)*$I$9/2</f>
        <v>0</v>
      </c>
      <c r="AA19" s="54"/>
      <c r="AB19" s="55"/>
      <c r="AC19" s="55"/>
      <c r="AD19" s="55"/>
      <c r="AE19" s="55"/>
    </row>
    <row r="20" spans="1:31">
      <c r="A20" s="213" t="s">
        <v>107</v>
      </c>
      <c r="C20" s="222">
        <v>0</v>
      </c>
      <c r="D20" s="218"/>
      <c r="E20" s="218"/>
      <c r="F20" s="218"/>
      <c r="G20" s="218"/>
      <c r="H20" s="218"/>
      <c r="I20" s="218"/>
      <c r="J20" s="218"/>
      <c r="K20" s="222">
        <f>J20+(J20-I20)*(J$14-K$14)/(I$14-J$14)</f>
        <v>0</v>
      </c>
      <c r="L20" s="97">
        <f>(($C$14-$D$14)*(C20+D20)+($D$14-$E$14)*(D20+E20)+($E$14-$F$14)*(E20+F20)+($F$14-$G$14)*(F20+G20)+($G$14-$H$14)*(G20+H20)+($H$14-$I$14)*(H20+I20)+($I$14-$J$14)*(I20+J20)+($J$14-$K$14)*(J20+K20)+$K$14*K20)*$I$9/2</f>
        <v>0</v>
      </c>
      <c r="AA20" s="54"/>
      <c r="AB20" s="55"/>
      <c r="AC20" s="55"/>
      <c r="AD20" s="55"/>
      <c r="AE20" s="55"/>
    </row>
    <row r="21" spans="1:31">
      <c r="A21" s="213" t="s">
        <v>108</v>
      </c>
      <c r="C21" s="222">
        <v>0</v>
      </c>
      <c r="D21" s="218"/>
      <c r="E21" s="218"/>
      <c r="F21" s="218"/>
      <c r="G21" s="218"/>
      <c r="H21" s="218"/>
      <c r="I21" s="218"/>
      <c r="J21" s="218"/>
      <c r="K21" s="222">
        <f>J21+(J21-I21)*(J$14-K$14)/(I$14-J$14)</f>
        <v>0</v>
      </c>
      <c r="L21" s="97">
        <f>(($C$14-$D$14)*(C21+D21)+($D$14-$E$14)*(D21+E21)+($E$14-$F$14)*(E21+F21)+($F$14-$G$14)*(F21+G21)+($G$14-$H$14)*(G21+H21)+($H$14-$I$14)*(H21+I21)+($I$14-$J$14)*(I21+J21)+($J$14-$K$14)*(J21+K21)+$K$14*K21)*$I$9/2</f>
        <v>0</v>
      </c>
      <c r="AA21" s="54"/>
      <c r="AB21" s="55"/>
      <c r="AC21" s="55"/>
      <c r="AD21" s="55"/>
      <c r="AE21" s="55"/>
    </row>
    <row r="22" spans="1:31">
      <c r="A22" s="213" t="s">
        <v>108</v>
      </c>
      <c r="C22" s="222">
        <v>0</v>
      </c>
      <c r="D22" s="218"/>
      <c r="E22" s="218"/>
      <c r="F22" s="218"/>
      <c r="G22" s="218"/>
      <c r="H22" s="218"/>
      <c r="I22" s="218"/>
      <c r="J22" s="218"/>
      <c r="K22" s="222">
        <f>J22+(J22-I22)*(J$14-K$14)/(I$14-J$14)</f>
        <v>0</v>
      </c>
      <c r="L22" s="97">
        <f>(($C$14-$D$14)*(C22+D22)+($D$14-$E$14)*(D22+E22)+($E$14-$F$14)*(E22+F22)+($F$14-$G$14)*(F22+G22)+($G$14-$H$14)*(G22+H22)+($H$14-$I$14)*(H22+I22)+($I$14-$J$14)*(I22+J22)+($J$14-$K$14)*(J22+K22)+$K$14*K22)*$I$9/2</f>
        <v>0</v>
      </c>
      <c r="AA22" s="54"/>
      <c r="AB22" s="55"/>
      <c r="AC22" s="55"/>
      <c r="AD22" s="55"/>
      <c r="AE22" s="55"/>
    </row>
    <row r="23" spans="1:31">
      <c r="A23" s="215" t="s">
        <v>109</v>
      </c>
      <c r="B23" s="94"/>
      <c r="C23" s="230"/>
      <c r="D23" s="230"/>
      <c r="E23" s="230"/>
      <c r="F23" s="230"/>
      <c r="G23" s="230"/>
      <c r="H23" s="230"/>
      <c r="I23" s="230"/>
      <c r="J23" s="230"/>
      <c r="K23" s="230"/>
      <c r="L23" s="98"/>
      <c r="AA23" s="54"/>
      <c r="AB23" s="55"/>
      <c r="AC23" s="55"/>
      <c r="AD23" s="55"/>
      <c r="AE23" s="55"/>
    </row>
    <row r="24" spans="1:31">
      <c r="A24" s="213" t="s">
        <v>110</v>
      </c>
      <c r="C24" s="222">
        <v>0</v>
      </c>
      <c r="D24" s="218"/>
      <c r="E24" s="218"/>
      <c r="F24" s="218"/>
      <c r="G24" s="218"/>
      <c r="H24" s="218"/>
      <c r="I24" s="218"/>
      <c r="J24" s="218"/>
      <c r="K24" s="222">
        <f t="shared" ref="K24:K25" si="2">J24+(J24-I24)*(J$14-K$14)/(I$14-J$14)</f>
        <v>0</v>
      </c>
      <c r="L24" s="97">
        <f>(($C$14-$D$14)*(C24+D24)+($D$14-$E$14)*(D24+E24)+($E$14-$F$14)*(E24+F24)+($F$14-$G$14)*(F24+G24)+($G$14-$H$14)*(G24+H24)+($H$14-$I$14)*(H24+I24)+($I$14-$J$14)*(I24+J24)+($J$14-$K$14)*(J24+K24)+$K$14*K24)*$I$10/2</f>
        <v>0</v>
      </c>
      <c r="AA24" s="54"/>
      <c r="AB24" s="55"/>
      <c r="AC24" s="55"/>
      <c r="AD24" s="55"/>
      <c r="AE24" s="55"/>
    </row>
    <row r="25" spans="1:31">
      <c r="A25" s="213" t="s">
        <v>111</v>
      </c>
      <c r="C25" s="222">
        <v>0</v>
      </c>
      <c r="D25" s="218"/>
      <c r="E25" s="218"/>
      <c r="F25" s="218"/>
      <c r="G25" s="218"/>
      <c r="H25" s="218"/>
      <c r="I25" s="218"/>
      <c r="J25" s="218"/>
      <c r="K25" s="222">
        <f t="shared" si="2"/>
        <v>0</v>
      </c>
      <c r="L25" s="97">
        <f>(($C$14-$D$14)*(C25+D25)+($D$14-$E$14)*(D25+E25)+($E$14-$F$14)*(E25+F25)+($F$14-$G$14)*(F25+G25)+($G$14-$H$14)*(G25+H25)+($H$14-$I$14)*(H25+I25)+($I$14-$J$14)*(I25+J25)+($J$14-$K$14)*(J25+K25)+$K$14*K25)*$I$10/2</f>
        <v>0</v>
      </c>
      <c r="AA25" s="54"/>
      <c r="AB25" s="55"/>
      <c r="AC25" s="55"/>
      <c r="AD25" s="55"/>
      <c r="AE25" s="55"/>
    </row>
    <row r="26" spans="1:31">
      <c r="A26" s="96" t="s">
        <v>112</v>
      </c>
      <c r="C26" s="222">
        <f>(C17+C18)*0.107</f>
        <v>0</v>
      </c>
      <c r="D26" s="218"/>
      <c r="E26" s="218"/>
      <c r="F26" s="218"/>
      <c r="G26" s="218"/>
      <c r="H26" s="218"/>
      <c r="I26" s="218"/>
      <c r="J26" s="218"/>
      <c r="K26" s="222">
        <f t="shared" ref="K26" si="3">(K17+K18)*0.107</f>
        <v>0</v>
      </c>
      <c r="L26" s="97">
        <f>(($C$14-$D$14)*(C26+D26)+($D$14-$E$14)*(D26+E26)+($E$14-$F$14)*(E26+F26)+($F$14-$G$14)*(F26+G26)+($G$14-$H$14)*(G26+H26)+($H$14-$I$14)*(H26+I26)+($I$14-$J$14)*(I26+J26)+($J$14-$K$14)*(J26+K26)+$K$14*K26)*$I$10/2</f>
        <v>0</v>
      </c>
      <c r="N26" s="214"/>
      <c r="AA26" s="54"/>
      <c r="AB26" s="55"/>
      <c r="AC26" s="55"/>
      <c r="AD26" s="55"/>
      <c r="AE26" s="55"/>
    </row>
    <row r="27" spans="1:31">
      <c r="A27" s="402" t="s">
        <v>113</v>
      </c>
      <c r="B27" s="403"/>
      <c r="C27" s="222">
        <v>0</v>
      </c>
      <c r="D27" s="218"/>
      <c r="E27" s="218"/>
      <c r="F27" s="218"/>
      <c r="G27" s="218"/>
      <c r="H27" s="218"/>
      <c r="I27" s="218"/>
      <c r="J27" s="218"/>
      <c r="K27" s="222">
        <f>J27+(J27-I27)*(J$14-K$14)/(I$14-J$14)</f>
        <v>0</v>
      </c>
      <c r="L27" s="97">
        <f>(($C$14-$D$14)*(C27+D27)+($D$14-$E$14)*(D27+E27)+($E$14-$F$14)*(E27+F27)+($F$14-$G$14)*(F27+G27)+($G$14-$H$14)*(G27+H27)+($H$14-$I$14)*(H27+I27)+($I$14-$J$14)*(I27+J27)+($J$14-$K$14)*(J27+K27)+$K$14*K27)*$I$10/2</f>
        <v>0</v>
      </c>
      <c r="AA27" s="54"/>
      <c r="AB27" s="55"/>
      <c r="AC27" s="55"/>
      <c r="AD27" s="55"/>
      <c r="AE27" s="55"/>
    </row>
    <row r="28" spans="1:31">
      <c r="A28" s="213" t="s">
        <v>108</v>
      </c>
      <c r="C28" s="222">
        <v>0</v>
      </c>
      <c r="D28" s="218"/>
      <c r="E28" s="218"/>
      <c r="F28" s="218"/>
      <c r="G28" s="218"/>
      <c r="H28" s="218"/>
      <c r="I28" s="218"/>
      <c r="J28" s="218"/>
      <c r="K28" s="222">
        <f>J28+(J28-I28)*(J$14-K$14)/(I$14-J$14)</f>
        <v>0</v>
      </c>
      <c r="L28" s="97">
        <f>(($C$14-$D$14)*(C28+D28)+($D$14-$E$14)*(D28+E28)+($E$14-$F$14)*(E28+F28)+($F$14-$G$14)*(F28+G28)+($G$14-$H$14)*(G28+H28)+($H$14-$I$14)*(H28+I28)+($I$14-$J$14)*(I28+J28)+($J$14-$K$14)*(J28+K28)+$K$14*K28)*$I$10/2</f>
        <v>0</v>
      </c>
      <c r="AA28" s="54"/>
      <c r="AB28" s="55"/>
      <c r="AC28" s="55"/>
      <c r="AD28" s="55"/>
      <c r="AE28" s="55"/>
    </row>
    <row r="29" spans="1:31" ht="13.5" thickBot="1">
      <c r="A29" s="224" t="str">
        <f>CONCATENATE("Total Damage per event ",D8)</f>
        <v>Total Damage per event £k</v>
      </c>
      <c r="B29" s="225"/>
      <c r="C29" s="226">
        <f>SUM(C17:C28)</f>
        <v>0</v>
      </c>
      <c r="D29" s="226">
        <f t="shared" ref="D29:J29" si="4">SUM(D17:D28)</f>
        <v>0</v>
      </c>
      <c r="E29" s="226">
        <f t="shared" si="4"/>
        <v>0</v>
      </c>
      <c r="F29" s="226">
        <f t="shared" si="4"/>
        <v>0</v>
      </c>
      <c r="G29" s="226">
        <f t="shared" si="4"/>
        <v>0</v>
      </c>
      <c r="H29" s="226">
        <f t="shared" si="4"/>
        <v>0</v>
      </c>
      <c r="I29" s="226">
        <f t="shared" si="4"/>
        <v>0</v>
      </c>
      <c r="J29" s="226">
        <f t="shared" si="4"/>
        <v>0</v>
      </c>
      <c r="K29" s="227">
        <f>SUM(K17:K28)</f>
        <v>0</v>
      </c>
      <c r="L29" s="228"/>
      <c r="AA29" s="54"/>
      <c r="AB29" s="55"/>
      <c r="AC29" s="55"/>
      <c r="AD29" s="55"/>
      <c r="AE29" s="55"/>
    </row>
    <row r="30" spans="1:31">
      <c r="A30" s="221" t="s">
        <v>114</v>
      </c>
      <c r="B30" s="1"/>
      <c r="C30" s="231">
        <f>SUM(C17:C21)</f>
        <v>0</v>
      </c>
      <c r="D30" s="231">
        <f>SUM(D17:D21)</f>
        <v>0</v>
      </c>
      <c r="E30" s="231">
        <f t="shared" ref="E30:K30" si="5">SUM(E17:E21)</f>
        <v>0</v>
      </c>
      <c r="F30" s="231">
        <f t="shared" si="5"/>
        <v>0</v>
      </c>
      <c r="G30" s="231">
        <f t="shared" si="5"/>
        <v>0</v>
      </c>
      <c r="H30" s="231">
        <f t="shared" si="5"/>
        <v>0</v>
      </c>
      <c r="I30" s="231">
        <f t="shared" si="5"/>
        <v>0</v>
      </c>
      <c r="J30" s="231">
        <f t="shared" si="5"/>
        <v>0</v>
      </c>
      <c r="K30" s="231">
        <f t="shared" si="5"/>
        <v>0</v>
      </c>
      <c r="L30" s="97"/>
      <c r="AA30" s="54"/>
      <c r="AB30" s="55"/>
      <c r="AC30" s="55"/>
      <c r="AD30" s="55"/>
      <c r="AE30" s="55"/>
    </row>
    <row r="31" spans="1:31">
      <c r="A31" s="223" t="s">
        <v>115</v>
      </c>
      <c r="B31" s="114"/>
      <c r="C31" s="293"/>
      <c r="D31" s="293">
        <f>(C14-D14)*(D30+C30)/2</f>
        <v>0</v>
      </c>
      <c r="E31" s="293">
        <f t="shared" ref="E31:K31" si="6">(D14-E14)*(E30+D30)/2</f>
        <v>0</v>
      </c>
      <c r="F31" s="293">
        <f t="shared" si="6"/>
        <v>0</v>
      </c>
      <c r="G31" s="293">
        <f t="shared" si="6"/>
        <v>0</v>
      </c>
      <c r="H31" s="293">
        <f t="shared" si="6"/>
        <v>0</v>
      </c>
      <c r="I31" s="293">
        <f t="shared" si="6"/>
        <v>0</v>
      </c>
      <c r="J31" s="293">
        <f t="shared" si="6"/>
        <v>0</v>
      </c>
      <c r="K31" s="293">
        <f t="shared" si="6"/>
        <v>0</v>
      </c>
      <c r="L31" s="97"/>
      <c r="AA31" s="54"/>
      <c r="AB31" s="55"/>
      <c r="AC31" s="55"/>
      <c r="AD31" s="55"/>
      <c r="AE31" s="55"/>
    </row>
    <row r="32" spans="1:31">
      <c r="A32" s="221" t="s">
        <v>116</v>
      </c>
      <c r="B32" s="1"/>
      <c r="C32" s="231">
        <f t="shared" ref="C32:K32" si="7">SUM(C24:C28)</f>
        <v>0</v>
      </c>
      <c r="D32" s="231">
        <f t="shared" si="7"/>
        <v>0</v>
      </c>
      <c r="E32" s="231">
        <f>SUM(E24:E28)</f>
        <v>0</v>
      </c>
      <c r="F32" s="231">
        <f t="shared" si="7"/>
        <v>0</v>
      </c>
      <c r="G32" s="231">
        <f t="shared" si="7"/>
        <v>0</v>
      </c>
      <c r="H32" s="231">
        <f t="shared" si="7"/>
        <v>0</v>
      </c>
      <c r="I32" s="231">
        <f t="shared" si="7"/>
        <v>0</v>
      </c>
      <c r="J32" s="231">
        <f t="shared" si="7"/>
        <v>0</v>
      </c>
      <c r="K32" s="231">
        <f t="shared" si="7"/>
        <v>0</v>
      </c>
      <c r="L32" s="98"/>
      <c r="AA32" s="54"/>
      <c r="AB32" s="55"/>
      <c r="AC32" s="55"/>
      <c r="AD32" s="55"/>
      <c r="AE32" s="55"/>
    </row>
    <row r="33" spans="1:31" ht="13.5" thickBot="1">
      <c r="A33" s="4" t="s">
        <v>115</v>
      </c>
      <c r="B33" s="5"/>
      <c r="C33" s="294"/>
      <c r="D33" s="294">
        <f t="shared" ref="D33:K33" si="8">(C14-D14)*(D32+C32)/2</f>
        <v>0</v>
      </c>
      <c r="E33" s="294">
        <f t="shared" si="8"/>
        <v>0</v>
      </c>
      <c r="F33" s="294">
        <f t="shared" si="8"/>
        <v>0</v>
      </c>
      <c r="G33" s="294">
        <f t="shared" si="8"/>
        <v>0</v>
      </c>
      <c r="H33" s="294">
        <f t="shared" si="8"/>
        <v>0</v>
      </c>
      <c r="I33" s="294">
        <f t="shared" si="8"/>
        <v>0</v>
      </c>
      <c r="J33" s="294">
        <f t="shared" si="8"/>
        <v>0</v>
      </c>
      <c r="K33" s="294">
        <f t="shared" si="8"/>
        <v>0</v>
      </c>
      <c r="L33" s="98"/>
      <c r="AA33" s="54"/>
      <c r="AB33" s="55"/>
      <c r="AC33" s="55"/>
      <c r="AD33" s="55"/>
      <c r="AE33" s="55"/>
    </row>
    <row r="34" spans="1:31">
      <c r="A34" s="3"/>
      <c r="B34" s="1"/>
      <c r="C34" s="1"/>
      <c r="D34" s="1"/>
      <c r="E34" s="1"/>
      <c r="F34" s="1"/>
      <c r="G34" s="1"/>
      <c r="H34" s="1"/>
      <c r="I34" s="1"/>
      <c r="J34" s="1"/>
      <c r="K34" s="1"/>
      <c r="L34" s="98"/>
      <c r="AA34" s="54"/>
      <c r="AB34" s="55"/>
      <c r="AC34" s="55"/>
      <c r="AD34" s="55"/>
      <c r="AE34" s="55"/>
    </row>
    <row r="35" spans="1:31">
      <c r="A35" s="3"/>
      <c r="B35" s="1"/>
      <c r="C35" s="1"/>
      <c r="D35" s="1"/>
      <c r="E35" s="1"/>
      <c r="F35" s="1"/>
      <c r="G35" s="216" t="s">
        <v>117</v>
      </c>
      <c r="H35" s="216" t="s">
        <v>118</v>
      </c>
      <c r="I35" s="1"/>
      <c r="J35" s="1"/>
      <c r="K35" s="1"/>
      <c r="L35" s="98"/>
      <c r="AA35" s="54"/>
      <c r="AB35" s="55"/>
      <c r="AC35" s="55"/>
      <c r="AD35" s="55"/>
      <c r="AE35" s="55"/>
    </row>
    <row r="36" spans="1:31" ht="13.5" thickBot="1">
      <c r="A36" s="3" t="s">
        <v>119</v>
      </c>
      <c r="B36" s="1"/>
      <c r="C36" s="1"/>
      <c r="D36" s="1"/>
      <c r="E36" s="1"/>
      <c r="F36" s="1"/>
      <c r="G36" s="219">
        <f>SUM(C31:K31)</f>
        <v>0</v>
      </c>
      <c r="H36" s="231">
        <f>SUM(C33:K33)</f>
        <v>0</v>
      </c>
      <c r="I36" s="1"/>
      <c r="J36" s="1"/>
      <c r="K36" s="1"/>
      <c r="L36" s="98"/>
      <c r="AA36" s="54"/>
      <c r="AB36" s="55"/>
      <c r="AC36" s="55"/>
      <c r="AD36" s="55"/>
      <c r="AE36" s="55"/>
    </row>
    <row r="37" spans="1:31" ht="13.5" thickBot="1">
      <c r="A37" s="4" t="s">
        <v>120</v>
      </c>
      <c r="B37" s="5"/>
      <c r="C37" s="5"/>
      <c r="D37" s="5"/>
      <c r="E37" s="5"/>
      <c r="F37" s="5"/>
      <c r="G37" s="99">
        <f>G36*I9</f>
        <v>0</v>
      </c>
      <c r="H37" s="99">
        <f>H36*I10</f>
        <v>0</v>
      </c>
      <c r="I37" s="220" t="s">
        <v>121</v>
      </c>
      <c r="J37" s="99">
        <f>SUM(G37:H37)</f>
        <v>0</v>
      </c>
      <c r="K37" s="5"/>
      <c r="L37" s="100">
        <f>SUM(L17:L28)</f>
        <v>0</v>
      </c>
      <c r="AA37" s="54"/>
      <c r="AB37" s="55"/>
      <c r="AC37" s="55"/>
      <c r="AD37" s="55"/>
      <c r="AE37" s="55"/>
    </row>
    <row r="38" spans="1:31">
      <c r="A38" s="3" t="s">
        <v>122</v>
      </c>
      <c r="B38" s="1"/>
      <c r="C38" s="1"/>
      <c r="D38" s="1"/>
      <c r="E38" s="1"/>
      <c r="F38" s="1"/>
      <c r="G38" s="1"/>
      <c r="H38" s="1"/>
      <c r="I38" s="1"/>
      <c r="J38" s="1"/>
      <c r="K38" s="1"/>
      <c r="L38" s="9"/>
      <c r="AA38" s="54"/>
      <c r="AB38" s="55"/>
      <c r="AC38" s="55"/>
      <c r="AD38" s="55"/>
      <c r="AE38" s="55"/>
    </row>
    <row r="39" spans="1:31">
      <c r="A39" s="3" t="s">
        <v>123</v>
      </c>
      <c r="B39" s="1"/>
      <c r="C39" s="1"/>
      <c r="D39" s="1"/>
      <c r="E39" s="1"/>
      <c r="F39" s="1"/>
      <c r="G39" s="1"/>
      <c r="H39" s="1"/>
      <c r="I39" s="1"/>
      <c r="J39" s="1"/>
      <c r="K39" s="1"/>
      <c r="L39" s="9"/>
      <c r="AA39" s="54"/>
      <c r="AB39" s="55"/>
      <c r="AC39" s="55"/>
      <c r="AD39" s="55"/>
      <c r="AE39" s="55"/>
    </row>
    <row r="40" spans="1:31">
      <c r="A40" s="3" t="s">
        <v>124</v>
      </c>
      <c r="B40" s="1"/>
      <c r="C40" s="1"/>
      <c r="D40" s="1"/>
      <c r="E40" s="1"/>
      <c r="F40" s="1"/>
      <c r="G40" s="1"/>
      <c r="H40" s="1"/>
      <c r="I40" s="1"/>
      <c r="J40" s="1"/>
      <c r="K40" s="1"/>
      <c r="L40" s="9"/>
      <c r="AA40" s="54"/>
      <c r="AB40" s="55"/>
      <c r="AC40" s="55"/>
      <c r="AD40" s="55"/>
      <c r="AE40" s="55"/>
    </row>
    <row r="41" spans="1:31">
      <c r="A41" s="3" t="s">
        <v>125</v>
      </c>
      <c r="B41" s="1"/>
      <c r="C41" s="1"/>
      <c r="D41" s="1"/>
      <c r="E41" s="1"/>
      <c r="F41" s="1"/>
      <c r="G41" s="1"/>
      <c r="H41" s="1"/>
      <c r="I41" s="1"/>
      <c r="J41" s="1"/>
      <c r="K41" s="1"/>
      <c r="L41" s="9"/>
      <c r="AA41" s="54"/>
      <c r="AB41" s="55"/>
      <c r="AC41" s="55"/>
      <c r="AD41" s="55"/>
      <c r="AE41" s="55"/>
    </row>
    <row r="42" spans="1:31">
      <c r="A42" s="3" t="s">
        <v>126</v>
      </c>
      <c r="B42" s="1"/>
      <c r="C42" s="1"/>
      <c r="D42" s="1"/>
      <c r="E42" s="1"/>
      <c r="F42" s="1"/>
      <c r="G42" s="1"/>
      <c r="H42" s="1"/>
      <c r="I42" s="1"/>
      <c r="J42" s="1"/>
      <c r="K42" s="1"/>
      <c r="L42" s="9"/>
      <c r="AA42" s="54"/>
      <c r="AB42" s="55"/>
      <c r="AC42" s="55"/>
      <c r="AD42" s="55"/>
      <c r="AE42" s="55"/>
    </row>
    <row r="43" spans="1:31">
      <c r="A43" s="3" t="s">
        <v>127</v>
      </c>
      <c r="B43" s="1"/>
      <c r="C43" s="1"/>
      <c r="D43" s="1"/>
      <c r="E43" s="1"/>
      <c r="F43" s="1"/>
      <c r="G43" s="1"/>
      <c r="H43" s="1"/>
      <c r="I43" s="1"/>
      <c r="J43" s="1"/>
      <c r="K43" s="1"/>
      <c r="L43" s="9"/>
      <c r="AA43" s="54"/>
      <c r="AB43" s="55"/>
      <c r="AC43" s="55"/>
      <c r="AD43" s="55"/>
      <c r="AE43" s="55"/>
    </row>
    <row r="44" spans="1:31" ht="13.5" thickBot="1">
      <c r="A44" s="229"/>
      <c r="B44" s="5"/>
      <c r="C44" s="5"/>
      <c r="D44" s="5"/>
      <c r="E44" s="5"/>
      <c r="F44" s="5"/>
      <c r="G44" s="5"/>
      <c r="H44" s="5"/>
      <c r="I44" s="5"/>
      <c r="J44" s="5"/>
      <c r="K44" s="5"/>
      <c r="L44" s="13"/>
      <c r="AA44" s="54"/>
      <c r="AB44" s="55"/>
      <c r="AC44" s="55"/>
      <c r="AD44" s="55"/>
      <c r="AE44" s="55"/>
    </row>
    <row r="45" spans="1:31">
      <c r="AA45" s="54"/>
      <c r="AB45" s="55"/>
      <c r="AC45" s="55"/>
      <c r="AD45" s="55"/>
      <c r="AE45" s="55"/>
    </row>
    <row r="46" spans="1:31">
      <c r="AA46" s="54"/>
      <c r="AB46" s="55"/>
      <c r="AC46" s="55"/>
      <c r="AD46" s="55"/>
      <c r="AE46" s="55"/>
    </row>
    <row r="47" spans="1:31">
      <c r="AA47" s="54"/>
      <c r="AB47" s="55"/>
      <c r="AC47" s="55"/>
      <c r="AD47" s="55"/>
      <c r="AE47" s="55"/>
    </row>
    <row r="48" spans="1:31" ht="13.5" thickBot="1">
      <c r="AA48" s="54"/>
      <c r="AB48" s="55"/>
      <c r="AC48" s="55"/>
      <c r="AD48" s="55"/>
      <c r="AE48" s="55"/>
    </row>
    <row r="49" spans="1:31">
      <c r="A49" s="101"/>
      <c r="B49" s="85"/>
      <c r="C49" s="85"/>
      <c r="D49" s="85"/>
      <c r="E49" s="85"/>
      <c r="F49" s="85"/>
      <c r="G49" s="85"/>
      <c r="H49" s="85"/>
      <c r="I49" s="85"/>
      <c r="J49" s="85"/>
      <c r="K49" s="85"/>
      <c r="L49" s="85"/>
      <c r="M49" s="96"/>
      <c r="AA49" s="54"/>
      <c r="AB49" s="55"/>
      <c r="AC49" s="55"/>
      <c r="AD49" s="55"/>
      <c r="AE49" s="55"/>
    </row>
    <row r="50" spans="1:31" ht="15.75">
      <c r="A50" s="102"/>
      <c r="B50" s="103" t="str">
        <f>CONCATENATE("Project: ",A5)</f>
        <v>Project: 0</v>
      </c>
      <c r="C50" s="30"/>
      <c r="D50" s="30"/>
      <c r="E50" s="30"/>
      <c r="F50" s="104"/>
      <c r="G50" s="30"/>
      <c r="H50" s="103" t="str">
        <f>CONCATENATE("Option: ",F5)</f>
        <v>Option: Do Nothing</v>
      </c>
      <c r="I50" s="30"/>
      <c r="J50" s="30"/>
      <c r="M50" s="96"/>
      <c r="AA50" s="54"/>
      <c r="AB50" s="55"/>
      <c r="AC50" s="55"/>
      <c r="AD50" s="55"/>
      <c r="AE50" s="55"/>
    </row>
    <row r="51" spans="1:31">
      <c r="A51" s="96"/>
      <c r="M51" s="96"/>
      <c r="AA51" s="54"/>
      <c r="AB51" s="55"/>
      <c r="AC51" s="55"/>
      <c r="AD51" s="55"/>
      <c r="AE51" s="55"/>
    </row>
    <row r="52" spans="1:31">
      <c r="A52" s="96"/>
      <c r="M52" s="96"/>
      <c r="AA52" s="54"/>
      <c r="AB52" s="55"/>
      <c r="AC52" s="55"/>
      <c r="AD52" s="55"/>
      <c r="AE52" s="55"/>
    </row>
    <row r="53" spans="1:31">
      <c r="A53" s="96"/>
      <c r="M53" s="96"/>
      <c r="AA53" s="54"/>
      <c r="AB53" s="55"/>
      <c r="AC53" s="55"/>
      <c r="AD53" s="55"/>
      <c r="AE53" s="55"/>
    </row>
    <row r="54" spans="1:31">
      <c r="A54" s="96"/>
      <c r="M54" s="96"/>
      <c r="AA54" s="54"/>
      <c r="AB54" s="55"/>
      <c r="AC54" s="55"/>
      <c r="AD54" s="55"/>
      <c r="AE54" s="55"/>
    </row>
    <row r="55" spans="1:31">
      <c r="A55" s="96"/>
      <c r="M55" s="96"/>
      <c r="AA55" s="54"/>
      <c r="AB55" s="55"/>
      <c r="AC55" s="55"/>
      <c r="AD55" s="55"/>
      <c r="AE55" s="55"/>
    </row>
    <row r="56" spans="1:31">
      <c r="A56" s="96"/>
      <c r="M56" s="96"/>
      <c r="AA56" s="54"/>
      <c r="AB56" s="55"/>
      <c r="AC56" s="55"/>
      <c r="AD56" s="55"/>
      <c r="AE56" s="55"/>
    </row>
    <row r="57" spans="1:31">
      <c r="A57" s="96"/>
      <c r="M57" s="96"/>
      <c r="AA57" s="54"/>
      <c r="AB57" s="55"/>
      <c r="AC57" s="55"/>
      <c r="AD57" s="55"/>
      <c r="AE57" s="55"/>
    </row>
    <row r="58" spans="1:31">
      <c r="A58" s="96"/>
      <c r="M58" s="96"/>
      <c r="AA58" s="54"/>
      <c r="AB58" s="55"/>
      <c r="AC58" s="55"/>
      <c r="AD58" s="55"/>
      <c r="AE58" s="55"/>
    </row>
    <row r="59" spans="1:31">
      <c r="A59" s="96"/>
      <c r="M59" s="96"/>
      <c r="AA59" s="54"/>
      <c r="AB59" s="55"/>
      <c r="AC59" s="55"/>
      <c r="AD59" s="55"/>
      <c r="AE59" s="55"/>
    </row>
    <row r="60" spans="1:31">
      <c r="A60" s="96"/>
      <c r="M60" s="96"/>
      <c r="AA60" s="54"/>
      <c r="AB60" s="55"/>
      <c r="AC60" s="55"/>
      <c r="AD60" s="55"/>
      <c r="AE60" s="55"/>
    </row>
    <row r="61" spans="1:31">
      <c r="A61" s="96"/>
      <c r="M61" s="96"/>
      <c r="AA61" s="54"/>
      <c r="AB61" s="55"/>
      <c r="AC61" s="55"/>
      <c r="AD61" s="55"/>
      <c r="AE61" s="55"/>
    </row>
    <row r="62" spans="1:31">
      <c r="A62" s="96"/>
      <c r="M62" s="96"/>
      <c r="AA62" s="54"/>
      <c r="AB62" s="55"/>
      <c r="AC62" s="55"/>
      <c r="AD62" s="55"/>
      <c r="AE62" s="55"/>
    </row>
    <row r="63" spans="1:31">
      <c r="A63" s="96"/>
      <c r="M63" s="96"/>
      <c r="AA63" s="54"/>
      <c r="AB63" s="55"/>
      <c r="AC63" s="55"/>
      <c r="AD63" s="55"/>
      <c r="AE63" s="55"/>
    </row>
    <row r="64" spans="1:31">
      <c r="A64" s="96"/>
      <c r="M64" s="96"/>
      <c r="AA64" s="54"/>
      <c r="AB64" s="55"/>
      <c r="AC64" s="55"/>
      <c r="AD64" s="55"/>
      <c r="AE64" s="55"/>
    </row>
    <row r="65" spans="1:31">
      <c r="A65" s="96"/>
      <c r="M65" s="96"/>
      <c r="AA65" s="54"/>
      <c r="AB65" s="55"/>
      <c r="AC65" s="55"/>
      <c r="AD65" s="55"/>
      <c r="AE65" s="55"/>
    </row>
    <row r="66" spans="1:31">
      <c r="A66" s="96"/>
      <c r="M66" s="96"/>
      <c r="AA66" s="54"/>
      <c r="AB66" s="55"/>
      <c r="AC66" s="55"/>
      <c r="AD66" s="55"/>
      <c r="AE66" s="55"/>
    </row>
    <row r="67" spans="1:31">
      <c r="A67" s="96"/>
      <c r="M67" s="96"/>
      <c r="AA67" s="54"/>
      <c r="AB67" s="55"/>
      <c r="AC67" s="55"/>
      <c r="AD67" s="55"/>
      <c r="AE67" s="55"/>
    </row>
    <row r="68" spans="1:31">
      <c r="A68" s="96"/>
      <c r="M68" s="96"/>
      <c r="AA68" s="54"/>
      <c r="AB68" s="55"/>
      <c r="AC68" s="55"/>
      <c r="AD68" s="55"/>
      <c r="AE68" s="55"/>
    </row>
    <row r="69" spans="1:31">
      <c r="A69" s="96"/>
      <c r="M69" s="96"/>
      <c r="AA69" s="54"/>
      <c r="AB69" s="55"/>
      <c r="AC69" s="55"/>
      <c r="AD69" s="55"/>
      <c r="AE69" s="55"/>
    </row>
    <row r="70" spans="1:31">
      <c r="A70" s="96"/>
      <c r="M70" s="96"/>
      <c r="AA70" s="54"/>
      <c r="AB70" s="55"/>
      <c r="AC70" s="55"/>
      <c r="AD70" s="55"/>
      <c r="AE70" s="55"/>
    </row>
    <row r="71" spans="1:31">
      <c r="A71" s="96"/>
      <c r="M71" s="96"/>
      <c r="AA71" s="54"/>
      <c r="AB71" s="55"/>
      <c r="AC71" s="55"/>
      <c r="AD71" s="55"/>
      <c r="AE71" s="55"/>
    </row>
    <row r="72" spans="1:31">
      <c r="A72" s="96"/>
      <c r="M72" s="96"/>
      <c r="AA72" s="54"/>
      <c r="AB72" s="55"/>
      <c r="AC72" s="55"/>
      <c r="AD72" s="55"/>
      <c r="AE72" s="55"/>
    </row>
    <row r="73" spans="1:31">
      <c r="A73" s="96"/>
      <c r="M73" s="96"/>
      <c r="AA73" s="54"/>
      <c r="AB73" s="55"/>
      <c r="AC73" s="55"/>
      <c r="AD73" s="55"/>
      <c r="AE73" s="55"/>
    </row>
    <row r="74" spans="1:31">
      <c r="A74" s="96"/>
      <c r="M74" s="96"/>
      <c r="AA74" s="54"/>
      <c r="AB74" s="55"/>
      <c r="AC74" s="55"/>
      <c r="AD74" s="55"/>
      <c r="AE74" s="55"/>
    </row>
    <row r="75" spans="1:31">
      <c r="A75" s="96"/>
      <c r="M75" s="96"/>
      <c r="AA75" s="54"/>
      <c r="AB75" s="55"/>
      <c r="AC75" s="55"/>
      <c r="AD75" s="55"/>
      <c r="AE75" s="55"/>
    </row>
    <row r="76" spans="1:31">
      <c r="A76" s="105" t="s">
        <v>128</v>
      </c>
      <c r="B76" s="106"/>
      <c r="C76" s="107">
        <f t="shared" ref="C76:K76" si="9">C14</f>
        <v>0.5</v>
      </c>
      <c r="D76" s="107">
        <f t="shared" si="9"/>
        <v>0.2</v>
      </c>
      <c r="E76" s="107">
        <f t="shared" si="9"/>
        <v>0.1</v>
      </c>
      <c r="F76" s="107">
        <f t="shared" si="9"/>
        <v>0.05</v>
      </c>
      <c r="G76" s="107">
        <f t="shared" si="9"/>
        <v>0.02</v>
      </c>
      <c r="H76" s="107">
        <f t="shared" si="9"/>
        <v>1.3333333333333334E-2</v>
      </c>
      <c r="I76" s="107">
        <f t="shared" si="9"/>
        <v>0.01</v>
      </c>
      <c r="J76" s="107">
        <f t="shared" si="9"/>
        <v>5.0000000000000001E-3</v>
      </c>
      <c r="K76" s="107">
        <f t="shared" si="9"/>
        <v>0</v>
      </c>
      <c r="L76" s="69"/>
      <c r="M76" s="96"/>
      <c r="AA76" s="54"/>
      <c r="AB76" s="55"/>
      <c r="AC76" s="55"/>
      <c r="AD76" s="55"/>
      <c r="AE76" s="55"/>
    </row>
    <row r="77" spans="1:31">
      <c r="A77" s="105" t="s">
        <v>129</v>
      </c>
      <c r="B77" s="106" t="str">
        <f>D8</f>
        <v>£k</v>
      </c>
      <c r="C77" s="232">
        <f t="shared" ref="C77:K77" si="10">C29</f>
        <v>0</v>
      </c>
      <c r="D77" s="232">
        <f t="shared" si="10"/>
        <v>0</v>
      </c>
      <c r="E77" s="232">
        <f t="shared" si="10"/>
        <v>0</v>
      </c>
      <c r="F77" s="232">
        <f t="shared" si="10"/>
        <v>0</v>
      </c>
      <c r="G77" s="232">
        <f t="shared" si="10"/>
        <v>0</v>
      </c>
      <c r="H77" s="232">
        <f t="shared" si="10"/>
        <v>0</v>
      </c>
      <c r="I77" s="232">
        <f t="shared" si="10"/>
        <v>0</v>
      </c>
      <c r="J77" s="232">
        <f t="shared" si="10"/>
        <v>0</v>
      </c>
      <c r="K77" s="232">
        <f t="shared" si="10"/>
        <v>0</v>
      </c>
      <c r="M77" s="96"/>
      <c r="AA77" s="54"/>
      <c r="AB77" s="55"/>
      <c r="AC77" s="55"/>
      <c r="AD77" s="55"/>
      <c r="AE77" s="55"/>
    </row>
    <row r="78" spans="1:31">
      <c r="A78" s="96"/>
      <c r="M78" s="96"/>
      <c r="AA78" s="54"/>
      <c r="AB78" s="55"/>
      <c r="AC78" s="55"/>
      <c r="AD78" s="55"/>
      <c r="AE78" s="55"/>
    </row>
    <row r="79" spans="1:31">
      <c r="A79" s="96"/>
      <c r="M79" s="96"/>
      <c r="AA79" s="54"/>
      <c r="AB79" s="55"/>
      <c r="AC79" s="55"/>
      <c r="AD79" s="55"/>
      <c r="AE79" s="55"/>
    </row>
    <row r="80" spans="1:31" ht="13.5" thickBot="1">
      <c r="A80" s="108"/>
      <c r="B80" s="109"/>
      <c r="C80" s="109"/>
      <c r="D80" s="109"/>
      <c r="E80" s="109"/>
      <c r="F80" s="109"/>
      <c r="G80" s="109"/>
      <c r="H80" s="109"/>
      <c r="I80" s="109"/>
      <c r="J80" s="109"/>
      <c r="K80" s="109"/>
      <c r="L80" s="109"/>
      <c r="M80" s="96"/>
      <c r="AA80" s="54"/>
      <c r="AB80" s="55"/>
      <c r="AC80" s="55"/>
      <c r="AD80" s="55"/>
      <c r="AE80" s="55"/>
    </row>
    <row r="81" spans="27:31">
      <c r="AA81" s="54"/>
      <c r="AB81" s="55"/>
      <c r="AC81" s="55"/>
      <c r="AD81" s="55"/>
      <c r="AE81" s="55"/>
    </row>
    <row r="82" spans="27:31">
      <c r="AA82" s="54"/>
      <c r="AB82" s="55"/>
      <c r="AC82" s="55"/>
      <c r="AD82" s="55"/>
      <c r="AE82" s="55"/>
    </row>
    <row r="83" spans="27:31">
      <c r="AA83" s="54"/>
      <c r="AB83" s="55"/>
      <c r="AC83" s="55"/>
      <c r="AD83" s="55"/>
      <c r="AE83" s="55"/>
    </row>
    <row r="84" spans="27:31">
      <c r="AA84" s="54"/>
      <c r="AB84" s="55"/>
      <c r="AC84" s="55"/>
      <c r="AD84" s="55"/>
      <c r="AE84" s="55"/>
    </row>
    <row r="85" spans="27:31">
      <c r="AA85" s="54"/>
      <c r="AB85" s="55"/>
      <c r="AC85" s="55"/>
      <c r="AD85" s="55"/>
      <c r="AE85" s="55"/>
    </row>
    <row r="86" spans="27:31">
      <c r="AA86" s="54"/>
      <c r="AB86" s="55"/>
      <c r="AC86" s="55"/>
      <c r="AD86" s="55"/>
      <c r="AE86" s="55"/>
    </row>
    <row r="87" spans="27:31">
      <c r="AA87" s="54"/>
      <c r="AB87" s="55"/>
      <c r="AC87" s="55"/>
      <c r="AD87" s="55"/>
      <c r="AE87" s="55"/>
    </row>
    <row r="88" spans="27:31">
      <c r="AA88" s="54"/>
      <c r="AB88" s="55"/>
      <c r="AC88" s="55"/>
      <c r="AD88" s="55"/>
      <c r="AE88" s="55"/>
    </row>
    <row r="89" spans="27:31">
      <c r="AA89" s="54"/>
      <c r="AB89" s="55"/>
      <c r="AC89" s="55"/>
      <c r="AD89" s="55"/>
      <c r="AE89" s="55"/>
    </row>
    <row r="90" spans="27:31">
      <c r="AA90" s="54"/>
      <c r="AB90" s="55"/>
      <c r="AC90" s="55"/>
      <c r="AD90" s="55"/>
      <c r="AE90" s="55"/>
    </row>
    <row r="91" spans="27:31">
      <c r="AA91" s="54"/>
      <c r="AB91" s="55"/>
      <c r="AC91" s="55"/>
      <c r="AD91" s="55"/>
      <c r="AE91" s="55"/>
    </row>
    <row r="92" spans="27:31">
      <c r="AA92" s="54"/>
      <c r="AB92" s="55"/>
      <c r="AC92" s="55"/>
      <c r="AD92" s="55"/>
      <c r="AE92" s="55"/>
    </row>
    <row r="93" spans="27:31">
      <c r="AA93" s="54"/>
      <c r="AB93" s="55"/>
      <c r="AC93" s="55"/>
      <c r="AD93" s="55"/>
      <c r="AE93" s="55"/>
    </row>
    <row r="94" spans="27:31">
      <c r="AA94" s="54"/>
      <c r="AB94" s="55"/>
      <c r="AC94" s="55"/>
      <c r="AD94" s="55"/>
      <c r="AE94" s="55"/>
    </row>
    <row r="95" spans="27:31">
      <c r="AA95" s="54"/>
      <c r="AB95" s="55"/>
      <c r="AC95" s="55"/>
      <c r="AD95" s="55"/>
      <c r="AE95" s="55"/>
    </row>
    <row r="96" spans="27:31">
      <c r="AA96" s="54"/>
      <c r="AB96" s="55"/>
      <c r="AC96" s="55"/>
      <c r="AD96" s="55"/>
      <c r="AE96" s="55"/>
    </row>
    <row r="97" spans="27:31">
      <c r="AA97" s="54"/>
      <c r="AB97" s="55"/>
      <c r="AC97" s="55"/>
      <c r="AD97" s="55"/>
      <c r="AE97" s="55"/>
    </row>
    <row r="98" spans="27:31">
      <c r="AA98" s="54"/>
      <c r="AB98" s="55"/>
      <c r="AC98" s="55"/>
      <c r="AD98" s="55"/>
      <c r="AE98" s="55"/>
    </row>
    <row r="99" spans="27:31">
      <c r="AA99" s="54"/>
      <c r="AB99" s="55"/>
      <c r="AC99" s="55"/>
      <c r="AD99" s="55"/>
      <c r="AE99" s="55"/>
    </row>
    <row r="100" spans="27:31">
      <c r="AA100" s="54"/>
      <c r="AB100" s="55"/>
      <c r="AC100" s="55"/>
      <c r="AD100" s="55"/>
      <c r="AE100" s="55"/>
    </row>
    <row r="101" spans="27:31">
      <c r="AA101" s="54"/>
      <c r="AB101" s="55"/>
      <c r="AC101" s="55"/>
      <c r="AD101" s="55"/>
      <c r="AE101" s="55"/>
    </row>
    <row r="102" spans="27:31">
      <c r="AA102" s="54"/>
      <c r="AB102" s="55"/>
      <c r="AC102" s="55"/>
      <c r="AD102" s="55"/>
      <c r="AE102" s="55"/>
    </row>
    <row r="103" spans="27:31">
      <c r="AA103" s="54"/>
      <c r="AB103" s="55"/>
      <c r="AC103" s="55"/>
      <c r="AD103" s="55"/>
      <c r="AE103" s="55"/>
    </row>
    <row r="104" spans="27:31">
      <c r="AA104" s="54"/>
      <c r="AB104" s="55"/>
      <c r="AC104" s="55"/>
      <c r="AD104" s="55"/>
      <c r="AE104" s="55"/>
    </row>
    <row r="105" spans="27:31">
      <c r="AA105" s="54"/>
      <c r="AB105" s="55"/>
      <c r="AC105" s="55"/>
      <c r="AD105" s="55"/>
      <c r="AE105" s="55"/>
    </row>
    <row r="106" spans="27:31">
      <c r="AA106" s="54"/>
      <c r="AB106" s="55"/>
      <c r="AC106" s="55"/>
      <c r="AD106" s="55"/>
      <c r="AE106" s="55"/>
    </row>
    <row r="107" spans="27:31">
      <c r="AA107" s="54"/>
      <c r="AB107" s="55"/>
      <c r="AC107" s="55"/>
      <c r="AD107" s="55"/>
      <c r="AE107" s="55"/>
    </row>
    <row r="108" spans="27:31">
      <c r="AA108" s="54"/>
      <c r="AB108" s="55"/>
      <c r="AC108" s="55"/>
      <c r="AD108" s="55"/>
      <c r="AE108" s="55"/>
    </row>
    <row r="109" spans="27:31">
      <c r="AA109" s="54"/>
      <c r="AB109" s="55"/>
      <c r="AC109" s="55"/>
      <c r="AD109" s="55"/>
      <c r="AE109" s="55"/>
    </row>
    <row r="110" spans="27:31">
      <c r="AA110" s="54"/>
      <c r="AB110" s="55"/>
      <c r="AC110" s="55"/>
      <c r="AD110" s="55"/>
      <c r="AE110" s="55"/>
    </row>
    <row r="111" spans="27:31">
      <c r="AA111" s="54"/>
      <c r="AB111" s="55"/>
      <c r="AC111" s="55"/>
      <c r="AD111" s="55"/>
      <c r="AE111" s="55"/>
    </row>
    <row r="112" spans="27:31">
      <c r="AA112" s="54"/>
      <c r="AB112" s="55"/>
      <c r="AC112" s="55"/>
      <c r="AD112" s="55"/>
      <c r="AE112" s="55"/>
    </row>
    <row r="113" spans="27:31">
      <c r="AA113" s="54"/>
      <c r="AB113" s="55"/>
      <c r="AC113" s="55"/>
      <c r="AD113" s="55"/>
      <c r="AE113" s="55"/>
    </row>
    <row r="114" spans="27:31">
      <c r="AA114" s="54"/>
      <c r="AB114" s="55"/>
      <c r="AC114" s="55"/>
      <c r="AD114" s="55"/>
      <c r="AE114" s="55"/>
    </row>
    <row r="115" spans="27:31">
      <c r="AA115" s="54"/>
      <c r="AB115" s="55"/>
      <c r="AC115" s="55"/>
      <c r="AD115" s="55"/>
      <c r="AE115" s="55"/>
    </row>
    <row r="116" spans="27:31">
      <c r="AA116" s="54"/>
      <c r="AB116" s="55"/>
      <c r="AC116" s="55"/>
      <c r="AD116" s="55"/>
      <c r="AE116" s="55"/>
    </row>
    <row r="117" spans="27:31">
      <c r="AA117" s="54"/>
      <c r="AB117" s="55"/>
      <c r="AC117" s="55"/>
      <c r="AD117" s="55"/>
      <c r="AE117" s="55"/>
    </row>
    <row r="118" spans="27:31">
      <c r="AA118" s="54"/>
      <c r="AB118" s="55"/>
      <c r="AC118" s="55"/>
      <c r="AD118" s="55"/>
      <c r="AE118" s="55"/>
    </row>
    <row r="119" spans="27:31">
      <c r="AA119" s="54"/>
      <c r="AB119" s="55"/>
      <c r="AC119" s="55"/>
      <c r="AD119" s="55"/>
      <c r="AE119" s="55"/>
    </row>
    <row r="120" spans="27:31">
      <c r="AA120" s="54"/>
      <c r="AB120" s="55"/>
      <c r="AC120" s="55"/>
      <c r="AD120" s="55"/>
      <c r="AE120" s="55"/>
    </row>
    <row r="121" spans="27:31">
      <c r="AA121" s="54"/>
      <c r="AB121" s="55"/>
      <c r="AC121" s="55"/>
      <c r="AD121" s="55"/>
      <c r="AE121" s="55"/>
    </row>
    <row r="122" spans="27:31">
      <c r="AA122" s="54"/>
      <c r="AB122" s="55"/>
      <c r="AC122" s="55"/>
      <c r="AD122" s="55"/>
      <c r="AE122" s="55"/>
    </row>
    <row r="123" spans="27:31">
      <c r="AA123" s="54"/>
      <c r="AB123" s="55"/>
      <c r="AC123" s="55"/>
      <c r="AD123" s="55"/>
      <c r="AE123" s="55"/>
    </row>
    <row r="124" spans="27:31">
      <c r="AA124" s="54"/>
      <c r="AB124" s="55"/>
      <c r="AC124" s="55"/>
      <c r="AD124" s="55"/>
      <c r="AE124" s="55"/>
    </row>
    <row r="125" spans="27:31">
      <c r="AA125" s="54"/>
      <c r="AB125" s="55"/>
      <c r="AC125" s="55"/>
      <c r="AD125" s="55"/>
      <c r="AE125" s="55"/>
    </row>
    <row r="126" spans="27:31">
      <c r="AA126" s="54"/>
      <c r="AB126" s="55"/>
      <c r="AC126" s="55"/>
      <c r="AD126" s="55"/>
      <c r="AE126" s="55"/>
    </row>
    <row r="127" spans="27:31">
      <c r="AA127" s="54"/>
      <c r="AB127" s="55"/>
      <c r="AC127" s="55"/>
      <c r="AD127" s="55"/>
      <c r="AE127" s="55"/>
    </row>
    <row r="128" spans="27:31">
      <c r="AA128" s="54"/>
      <c r="AB128" s="55"/>
      <c r="AC128" s="55"/>
      <c r="AD128" s="55"/>
      <c r="AE128" s="55"/>
    </row>
    <row r="129" spans="27:31">
      <c r="AA129" s="54"/>
      <c r="AB129" s="55"/>
      <c r="AC129" s="55"/>
      <c r="AD129" s="55"/>
      <c r="AE129" s="55"/>
    </row>
    <row r="130" spans="27:31">
      <c r="AA130" s="54"/>
      <c r="AB130" s="55"/>
      <c r="AC130" s="55"/>
      <c r="AD130" s="55"/>
      <c r="AE130" s="55"/>
    </row>
    <row r="131" spans="27:31">
      <c r="AA131" s="54"/>
      <c r="AB131" s="55"/>
      <c r="AC131" s="55"/>
      <c r="AD131" s="55"/>
      <c r="AE131" s="55"/>
    </row>
    <row r="132" spans="27:31">
      <c r="AA132" s="54"/>
      <c r="AB132" s="55"/>
      <c r="AC132" s="55"/>
      <c r="AD132" s="55"/>
      <c r="AE132" s="55"/>
    </row>
    <row r="133" spans="27:31">
      <c r="AA133" s="54"/>
      <c r="AB133" s="55"/>
      <c r="AC133" s="55"/>
      <c r="AD133" s="55"/>
      <c r="AE133" s="55"/>
    </row>
    <row r="134" spans="27:31">
      <c r="AA134" s="54"/>
      <c r="AB134" s="55"/>
      <c r="AC134" s="55"/>
      <c r="AD134" s="55"/>
      <c r="AE134" s="55"/>
    </row>
    <row r="135" spans="27:31">
      <c r="AA135" s="54"/>
      <c r="AB135" s="55"/>
      <c r="AC135" s="55"/>
      <c r="AD135" s="55"/>
      <c r="AE135" s="55"/>
    </row>
    <row r="136" spans="27:31">
      <c r="AA136" s="54"/>
      <c r="AB136" s="55"/>
      <c r="AC136" s="55"/>
      <c r="AD136" s="55"/>
      <c r="AE136" s="55"/>
    </row>
    <row r="137" spans="27:31">
      <c r="AA137" s="54"/>
      <c r="AB137" s="55"/>
      <c r="AC137" s="55"/>
      <c r="AD137" s="55"/>
      <c r="AE137" s="55"/>
    </row>
    <row r="138" spans="27:31">
      <c r="AA138" s="54"/>
      <c r="AB138" s="55"/>
      <c r="AC138" s="55"/>
      <c r="AD138" s="55"/>
      <c r="AE138" s="55"/>
    </row>
    <row r="139" spans="27:31">
      <c r="AA139" s="54"/>
      <c r="AB139" s="55"/>
      <c r="AC139" s="55"/>
      <c r="AD139" s="55"/>
      <c r="AE139" s="55"/>
    </row>
    <row r="140" spans="27:31">
      <c r="AA140" s="54"/>
      <c r="AB140" s="55"/>
      <c r="AC140" s="55"/>
      <c r="AD140" s="55"/>
      <c r="AE140" s="55"/>
    </row>
    <row r="141" spans="27:31">
      <c r="AA141" s="54"/>
      <c r="AB141" s="55"/>
      <c r="AC141" s="55"/>
      <c r="AD141" s="55"/>
      <c r="AE141" s="55"/>
    </row>
    <row r="142" spans="27:31">
      <c r="AA142" s="54"/>
      <c r="AB142" s="55"/>
      <c r="AC142" s="55"/>
      <c r="AD142" s="55"/>
      <c r="AE142" s="55"/>
    </row>
    <row r="143" spans="27:31">
      <c r="AA143" s="54"/>
      <c r="AB143" s="55"/>
      <c r="AC143" s="55"/>
      <c r="AD143" s="55"/>
      <c r="AE143" s="55"/>
    </row>
    <row r="144" spans="27:31">
      <c r="AA144" s="54"/>
      <c r="AB144" s="55"/>
      <c r="AC144" s="55"/>
      <c r="AD144" s="55"/>
      <c r="AE144" s="55"/>
    </row>
    <row r="145" spans="27:31">
      <c r="AA145" s="54"/>
      <c r="AB145" s="55"/>
      <c r="AC145" s="55"/>
      <c r="AD145" s="55"/>
      <c r="AE145" s="55"/>
    </row>
    <row r="146" spans="27:31">
      <c r="AA146" s="54"/>
      <c r="AB146" s="55"/>
      <c r="AC146" s="55"/>
      <c r="AD146" s="55"/>
      <c r="AE146" s="55"/>
    </row>
    <row r="147" spans="27:31">
      <c r="AA147" s="54"/>
      <c r="AB147" s="55"/>
      <c r="AC147" s="55"/>
      <c r="AD147" s="55"/>
      <c r="AE147" s="55"/>
    </row>
    <row r="148" spans="27:31">
      <c r="AA148" s="54"/>
      <c r="AB148" s="55"/>
      <c r="AC148" s="55"/>
      <c r="AD148" s="55"/>
      <c r="AE148" s="55"/>
    </row>
    <row r="149" spans="27:31">
      <c r="AA149" s="54"/>
      <c r="AB149" s="55"/>
      <c r="AC149" s="55"/>
      <c r="AD149" s="55"/>
      <c r="AE149" s="55"/>
    </row>
    <row r="150" spans="27:31">
      <c r="AA150" s="54"/>
      <c r="AB150" s="55"/>
      <c r="AC150" s="55"/>
      <c r="AD150" s="55"/>
      <c r="AE150" s="55"/>
    </row>
    <row r="151" spans="27:31">
      <c r="AA151" s="54"/>
      <c r="AB151" s="55"/>
      <c r="AC151" s="55"/>
      <c r="AD151" s="55"/>
      <c r="AE151" s="55"/>
    </row>
    <row r="152" spans="27:31">
      <c r="AA152" s="54"/>
      <c r="AB152" s="55"/>
      <c r="AC152" s="55"/>
      <c r="AD152" s="55"/>
      <c r="AE152" s="55"/>
    </row>
    <row r="153" spans="27:31">
      <c r="AA153" s="54"/>
      <c r="AB153" s="55"/>
      <c r="AC153" s="55"/>
      <c r="AD153" s="55"/>
      <c r="AE153" s="55"/>
    </row>
    <row r="154" spans="27:31">
      <c r="AA154" s="54"/>
      <c r="AB154" s="55"/>
      <c r="AC154" s="55"/>
      <c r="AD154" s="55"/>
      <c r="AE154" s="55"/>
    </row>
    <row r="155" spans="27:31">
      <c r="AA155" s="54"/>
      <c r="AB155" s="55"/>
      <c r="AC155" s="55"/>
      <c r="AD155" s="55"/>
      <c r="AE155" s="55"/>
    </row>
    <row r="156" spans="27:31">
      <c r="AA156" s="54"/>
      <c r="AB156" s="55"/>
      <c r="AC156" s="55"/>
      <c r="AD156" s="55"/>
      <c r="AE156" s="55"/>
    </row>
    <row r="157" spans="27:31">
      <c r="AA157" s="54"/>
      <c r="AB157" s="55"/>
      <c r="AC157" s="55"/>
      <c r="AD157" s="55"/>
      <c r="AE157" s="55"/>
    </row>
    <row r="158" spans="27:31">
      <c r="AA158" s="54"/>
      <c r="AB158" s="55"/>
      <c r="AC158" s="55"/>
      <c r="AD158" s="55"/>
      <c r="AE158" s="55"/>
    </row>
    <row r="159" spans="27:31">
      <c r="AA159" s="54"/>
      <c r="AB159" s="55"/>
      <c r="AC159" s="55"/>
      <c r="AD159" s="55"/>
      <c r="AE159" s="55"/>
    </row>
    <row r="160" spans="27:31">
      <c r="AA160" s="54"/>
      <c r="AB160" s="55"/>
      <c r="AC160" s="55"/>
      <c r="AD160" s="55"/>
      <c r="AE160" s="55"/>
    </row>
    <row r="161" spans="27:31">
      <c r="AA161" s="54"/>
      <c r="AB161" s="55"/>
      <c r="AC161" s="55"/>
      <c r="AD161" s="55"/>
      <c r="AE161" s="55"/>
    </row>
    <row r="162" spans="27:31">
      <c r="AA162" s="54"/>
      <c r="AB162" s="55"/>
      <c r="AC162" s="55"/>
      <c r="AD162" s="55"/>
      <c r="AE162" s="55"/>
    </row>
    <row r="163" spans="27:31">
      <c r="AA163" s="54"/>
      <c r="AB163" s="55"/>
      <c r="AC163" s="55"/>
      <c r="AD163" s="55"/>
      <c r="AE163" s="55"/>
    </row>
    <row r="164" spans="27:31">
      <c r="AA164" s="54"/>
      <c r="AB164" s="55"/>
      <c r="AC164" s="55"/>
      <c r="AD164" s="55"/>
      <c r="AE164" s="55"/>
    </row>
    <row r="165" spans="27:31">
      <c r="AA165" s="54"/>
      <c r="AB165" s="55"/>
      <c r="AC165" s="55"/>
      <c r="AD165" s="55"/>
      <c r="AE165" s="55"/>
    </row>
    <row r="166" spans="27:31">
      <c r="AA166" s="54"/>
      <c r="AB166" s="55"/>
      <c r="AC166" s="55"/>
      <c r="AD166" s="55"/>
      <c r="AE166" s="55"/>
    </row>
    <row r="167" spans="27:31">
      <c r="AA167" s="54"/>
      <c r="AB167" s="55"/>
      <c r="AC167" s="55"/>
      <c r="AD167" s="55"/>
      <c r="AE167" s="55"/>
    </row>
    <row r="168" spans="27:31">
      <c r="AA168" s="54"/>
      <c r="AB168" s="55"/>
      <c r="AC168" s="55"/>
      <c r="AD168" s="55"/>
      <c r="AE168" s="55"/>
    </row>
    <row r="169" spans="27:31">
      <c r="AA169" s="54"/>
      <c r="AB169" s="55"/>
      <c r="AC169" s="55"/>
      <c r="AD169" s="55"/>
      <c r="AE169" s="55"/>
    </row>
    <row r="170" spans="27:31">
      <c r="AA170" s="54"/>
      <c r="AB170" s="55"/>
      <c r="AC170" s="55"/>
      <c r="AD170" s="55"/>
      <c r="AE170" s="55"/>
    </row>
    <row r="171" spans="27:31">
      <c r="AA171" s="54"/>
      <c r="AB171" s="55"/>
      <c r="AC171" s="55"/>
      <c r="AD171" s="55"/>
      <c r="AE171" s="55"/>
    </row>
    <row r="172" spans="27:31">
      <c r="AA172" s="54"/>
      <c r="AB172" s="55"/>
      <c r="AC172" s="55"/>
      <c r="AD172" s="55"/>
      <c r="AE172" s="55"/>
    </row>
    <row r="173" spans="27:31">
      <c r="AA173" s="54"/>
      <c r="AB173" s="55"/>
      <c r="AC173" s="55"/>
      <c r="AD173" s="55"/>
      <c r="AE173" s="55"/>
    </row>
    <row r="174" spans="27:31">
      <c r="AA174" s="54"/>
      <c r="AB174" s="55"/>
      <c r="AC174" s="55"/>
      <c r="AD174" s="55"/>
      <c r="AE174" s="55"/>
    </row>
    <row r="175" spans="27:31">
      <c r="AA175" s="54"/>
      <c r="AB175" s="55"/>
      <c r="AC175" s="55"/>
      <c r="AD175" s="55"/>
      <c r="AE175" s="55"/>
    </row>
    <row r="176" spans="27:31">
      <c r="AA176" s="54"/>
      <c r="AB176" s="55"/>
      <c r="AC176" s="55"/>
      <c r="AD176" s="55"/>
      <c r="AE176" s="55"/>
    </row>
    <row r="177" spans="27:31">
      <c r="AA177" s="54"/>
      <c r="AB177" s="55"/>
      <c r="AC177" s="55"/>
      <c r="AD177" s="55"/>
      <c r="AE177" s="55"/>
    </row>
    <row r="178" spans="27:31">
      <c r="AA178" s="54"/>
      <c r="AB178" s="55"/>
      <c r="AC178" s="55"/>
      <c r="AD178" s="55"/>
      <c r="AE178" s="55"/>
    </row>
    <row r="179" spans="27:31">
      <c r="AA179" s="54"/>
      <c r="AB179" s="55"/>
      <c r="AC179" s="55"/>
      <c r="AD179" s="55"/>
      <c r="AE179" s="55"/>
    </row>
    <row r="180" spans="27:31">
      <c r="AA180" s="54"/>
      <c r="AB180" s="55"/>
      <c r="AC180" s="55"/>
      <c r="AD180" s="55"/>
      <c r="AE180" s="55"/>
    </row>
    <row r="181" spans="27:31">
      <c r="AA181" s="54"/>
      <c r="AB181" s="55"/>
      <c r="AC181" s="55"/>
      <c r="AD181" s="55"/>
      <c r="AE181" s="55"/>
    </row>
    <row r="182" spans="27:31">
      <c r="AA182" s="54"/>
      <c r="AB182" s="55"/>
      <c r="AC182" s="55"/>
      <c r="AD182" s="55"/>
      <c r="AE182" s="55"/>
    </row>
    <row r="183" spans="27:31">
      <c r="AA183" s="54"/>
      <c r="AB183" s="55"/>
      <c r="AC183" s="55"/>
      <c r="AD183" s="55"/>
      <c r="AE183" s="55"/>
    </row>
    <row r="184" spans="27:31">
      <c r="AA184" s="54"/>
      <c r="AB184" s="55"/>
      <c r="AC184" s="55"/>
      <c r="AD184" s="55"/>
      <c r="AE184" s="55"/>
    </row>
    <row r="185" spans="27:31">
      <c r="AA185" s="54"/>
      <c r="AB185" s="55"/>
      <c r="AC185" s="55"/>
      <c r="AD185" s="55"/>
      <c r="AE185" s="55"/>
    </row>
    <row r="186" spans="27:31">
      <c r="AA186" s="54"/>
      <c r="AB186" s="55"/>
      <c r="AC186" s="55"/>
      <c r="AD186" s="55"/>
      <c r="AE186" s="55"/>
    </row>
    <row r="187" spans="27:31">
      <c r="AA187" s="54"/>
      <c r="AB187" s="55"/>
      <c r="AC187" s="55"/>
      <c r="AD187" s="55"/>
      <c r="AE187" s="55"/>
    </row>
    <row r="188" spans="27:31">
      <c r="AA188" s="54"/>
      <c r="AB188" s="55"/>
      <c r="AC188" s="55"/>
      <c r="AD188" s="55"/>
      <c r="AE188" s="55"/>
    </row>
    <row r="189" spans="27:31">
      <c r="AA189" s="54"/>
      <c r="AB189" s="55"/>
      <c r="AC189" s="55"/>
      <c r="AD189" s="55"/>
      <c r="AE189" s="55"/>
    </row>
    <row r="190" spans="27:31">
      <c r="AA190" s="54"/>
      <c r="AB190" s="55"/>
      <c r="AC190" s="55"/>
      <c r="AD190" s="55"/>
      <c r="AE190" s="55"/>
    </row>
    <row r="191" spans="27:31">
      <c r="AA191" s="54"/>
      <c r="AB191" s="55"/>
      <c r="AC191" s="55"/>
      <c r="AD191" s="55"/>
      <c r="AE191" s="55"/>
    </row>
    <row r="192" spans="27:31">
      <c r="AA192" s="54"/>
      <c r="AB192" s="55"/>
      <c r="AC192" s="55"/>
      <c r="AD192" s="55"/>
      <c r="AE192" s="55"/>
    </row>
    <row r="193" spans="27:33">
      <c r="AA193" s="54"/>
      <c r="AB193" s="55"/>
      <c r="AC193" s="55"/>
      <c r="AD193" s="55"/>
      <c r="AE193" s="55"/>
    </row>
    <row r="194" spans="27:33">
      <c r="AA194" s="54"/>
      <c r="AB194" s="55"/>
      <c r="AC194" s="55"/>
      <c r="AD194" s="55"/>
      <c r="AE194" s="55"/>
    </row>
    <row r="195" spans="27:33">
      <c r="AA195" s="54"/>
      <c r="AB195" s="55"/>
      <c r="AC195" s="55"/>
      <c r="AD195" s="55"/>
      <c r="AE195" s="55"/>
    </row>
    <row r="196" spans="27:33">
      <c r="AA196" s="54"/>
      <c r="AB196" s="55"/>
      <c r="AC196" s="55"/>
      <c r="AD196" s="55"/>
      <c r="AE196" s="55"/>
    </row>
    <row r="197" spans="27:33">
      <c r="AA197" s="54"/>
      <c r="AB197" s="55"/>
      <c r="AC197" s="55"/>
      <c r="AD197" s="55"/>
      <c r="AE197" s="55"/>
    </row>
    <row r="198" spans="27:33">
      <c r="AA198" s="54"/>
      <c r="AB198" s="55"/>
      <c r="AC198" s="55"/>
      <c r="AD198" s="55"/>
      <c r="AE198" s="55"/>
    </row>
    <row r="199" spans="27:33">
      <c r="AA199" s="54"/>
      <c r="AB199" s="55"/>
      <c r="AC199" s="55"/>
      <c r="AD199" s="55"/>
      <c r="AE199" s="55"/>
    </row>
    <row r="200" spans="27:33">
      <c r="AA200" s="54"/>
      <c r="AB200" s="55"/>
      <c r="AC200" s="55"/>
      <c r="AD200" s="55"/>
      <c r="AE200" s="55"/>
    </row>
    <row r="201" spans="27:33">
      <c r="AA201" s="54"/>
      <c r="AB201" s="55"/>
      <c r="AC201" s="55"/>
      <c r="AD201" s="55"/>
      <c r="AE201" s="55"/>
    </row>
    <row r="202" spans="27:33">
      <c r="AA202" s="54"/>
      <c r="AB202" s="55"/>
      <c r="AC202" s="55"/>
      <c r="AD202" s="55"/>
      <c r="AE202" s="55"/>
    </row>
    <row r="203" spans="27:33">
      <c r="AA203" s="54"/>
      <c r="AB203" s="55"/>
      <c r="AC203" s="55"/>
      <c r="AD203" s="55"/>
      <c r="AE203" s="55"/>
    </row>
    <row r="204" spans="27:33">
      <c r="AA204" s="54"/>
      <c r="AB204" s="55"/>
      <c r="AC204" s="55"/>
      <c r="AD204" s="55"/>
      <c r="AE204" s="55"/>
    </row>
    <row r="205" spans="27:33">
      <c r="AA205" s="214"/>
      <c r="AB205" s="214"/>
      <c r="AC205" s="214"/>
      <c r="AD205" s="214"/>
      <c r="AE205" s="214"/>
      <c r="AF205" s="214"/>
      <c r="AG205" s="214"/>
    </row>
  </sheetData>
  <mergeCells count="3">
    <mergeCell ref="AD2:AE2"/>
    <mergeCell ref="A27:B27"/>
    <mergeCell ref="AB2:AC2"/>
  </mergeCells>
  <phoneticPr fontId="11" type="noConversion"/>
  <printOptions gridLinesSet="0"/>
  <pageMargins left="0.75" right="0.75" top="1" bottom="1" header="0.5" footer="0.5"/>
  <pageSetup paperSize="9" scale="49" orientation="landscape" r:id="rId1"/>
  <headerFooter alignWithMargins="0">
    <oddHeader>&amp;LFCDPAG3&amp;C&amp;A</oddHeader>
    <oddFooter>Page &amp;P</oddFooter>
  </headerFooter>
  <rowBreaks count="1" manualBreakCount="1">
    <brk id="44" max="16383" man="1"/>
  </rowBreaks>
  <ignoredErrors>
    <ignoredError sqref="K26" formula="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130"/>
  <sheetViews>
    <sheetView zoomScale="80" zoomScaleNormal="80" workbookViewId="0">
      <selection activeCell="V28" sqref="V28"/>
    </sheetView>
  </sheetViews>
  <sheetFormatPr defaultRowHeight="12.75"/>
  <cols>
    <col min="1" max="1" width="10" customWidth="1"/>
    <col min="2" max="2" width="10.28515625" customWidth="1"/>
    <col min="3" max="3" width="10" customWidth="1"/>
    <col min="4" max="5" width="12.7109375" customWidth="1"/>
    <col min="6" max="6" width="15.85546875" customWidth="1"/>
    <col min="7" max="7" width="13.140625" customWidth="1"/>
    <col min="8" max="8" width="13.42578125" customWidth="1"/>
    <col min="9" max="9" width="13.140625" customWidth="1"/>
    <col min="10" max="11" width="11.85546875" customWidth="1"/>
    <col min="12" max="12" width="11.7109375" customWidth="1"/>
    <col min="13" max="13" width="13.7109375" customWidth="1"/>
    <col min="14" max="14" width="12.42578125" customWidth="1"/>
  </cols>
  <sheetData>
    <row r="1" spans="1:16" ht="18">
      <c r="A1" s="6"/>
      <c r="B1" s="2"/>
      <c r="C1" s="23"/>
      <c r="D1" s="23"/>
      <c r="E1" s="23"/>
      <c r="F1" s="62" t="s">
        <v>130</v>
      </c>
      <c r="G1" s="2"/>
      <c r="H1" s="2"/>
      <c r="I1" s="2"/>
      <c r="J1" s="2"/>
      <c r="K1" s="2"/>
      <c r="L1" s="75" t="s">
        <v>92</v>
      </c>
      <c r="M1" s="68"/>
      <c r="N1" s="8"/>
    </row>
    <row r="2" spans="1:16">
      <c r="A2" s="20" t="s">
        <v>42</v>
      </c>
      <c r="B2" s="1"/>
      <c r="C2" s="1"/>
      <c r="D2" s="1"/>
      <c r="E2" s="1"/>
      <c r="F2" s="1"/>
      <c r="G2" s="1"/>
      <c r="H2" s="1"/>
      <c r="I2" s="1"/>
      <c r="J2" s="1"/>
      <c r="K2" s="1"/>
      <c r="L2" s="1"/>
      <c r="M2" s="1"/>
      <c r="N2" s="9"/>
    </row>
    <row r="3" spans="1:16">
      <c r="A3" s="365">
        <f>Summary!A3</f>
        <v>0</v>
      </c>
      <c r="B3" s="30"/>
      <c r="C3" s="30"/>
      <c r="D3" s="30"/>
      <c r="E3" s="201"/>
      <c r="F3" s="1"/>
      <c r="G3" s="1"/>
      <c r="H3" s="1"/>
      <c r="I3" s="1"/>
      <c r="J3" s="1"/>
      <c r="K3" s="1"/>
      <c r="L3" s="1"/>
      <c r="M3" s="1"/>
      <c r="N3" s="9"/>
    </row>
    <row r="4" spans="1:16">
      <c r="A4" s="20" t="s">
        <v>45</v>
      </c>
      <c r="B4" s="1"/>
      <c r="C4" s="1"/>
      <c r="D4" s="1"/>
      <c r="E4" s="1"/>
      <c r="F4" s="1"/>
      <c r="G4" s="26" t="s">
        <v>93</v>
      </c>
      <c r="H4" s="1"/>
      <c r="I4" s="1"/>
      <c r="J4" s="1"/>
      <c r="K4" s="1"/>
      <c r="L4" s="1"/>
      <c r="M4" s="1"/>
      <c r="N4" s="9"/>
    </row>
    <row r="5" spans="1:16">
      <c r="A5" s="365">
        <f>Summary!A5</f>
        <v>0</v>
      </c>
      <c r="B5" s="201"/>
      <c r="C5" s="201"/>
      <c r="D5" s="201"/>
      <c r="E5" s="201"/>
      <c r="F5" s="1"/>
      <c r="G5" s="30" t="str">
        <f>Summary!A47</f>
        <v>Do Nothing</v>
      </c>
      <c r="H5" s="30"/>
      <c r="I5" s="30"/>
      <c r="J5" s="30"/>
      <c r="K5" s="30"/>
      <c r="L5" s="30"/>
      <c r="M5" s="1"/>
      <c r="N5" s="9"/>
    </row>
    <row r="6" spans="1:16">
      <c r="A6" s="20" t="s">
        <v>48</v>
      </c>
      <c r="B6" s="1"/>
      <c r="C6" s="74"/>
      <c r="D6" s="64">
        <f>Summary!C6</f>
        <v>0</v>
      </c>
      <c r="E6" s="1"/>
      <c r="F6" s="1"/>
      <c r="G6" s="1"/>
      <c r="H6" s="1"/>
      <c r="I6" s="1"/>
      <c r="J6" s="1"/>
      <c r="K6" s="1"/>
      <c r="L6" s="1"/>
      <c r="M6" s="1"/>
      <c r="N6" s="9"/>
    </row>
    <row r="7" spans="1:16">
      <c r="A7" s="3" t="s">
        <v>50</v>
      </c>
      <c r="B7" s="1"/>
      <c r="C7" s="1"/>
      <c r="D7" s="70">
        <f>Summary!C7</f>
        <v>44562</v>
      </c>
      <c r="E7" s="1"/>
      <c r="F7" s="1"/>
      <c r="G7" s="1"/>
      <c r="H7" s="1"/>
      <c r="I7" s="1"/>
      <c r="J7" s="1"/>
      <c r="K7" s="1"/>
      <c r="L7" s="1"/>
      <c r="M7" s="1"/>
      <c r="N7" s="9"/>
      <c r="P7" s="214"/>
    </row>
    <row r="8" spans="1:16">
      <c r="A8" s="3" t="s">
        <v>52</v>
      </c>
      <c r="B8" s="1"/>
      <c r="C8" s="1"/>
      <c r="D8" s="59" t="str">
        <f>Summary!C8</f>
        <v>£k</v>
      </c>
      <c r="E8" s="1"/>
      <c r="F8" s="1"/>
      <c r="G8" s="1"/>
      <c r="H8" s="1"/>
      <c r="I8" s="1"/>
      <c r="J8" s="1"/>
      <c r="K8" s="1"/>
      <c r="L8" s="1" t="s">
        <v>43</v>
      </c>
      <c r="M8" s="1"/>
      <c r="N8" s="71">
        <f>Summary!F2</f>
        <v>44562</v>
      </c>
      <c r="P8" s="203"/>
    </row>
    <row r="9" spans="1:16">
      <c r="A9" s="221"/>
      <c r="B9" s="15"/>
      <c r="C9" s="15"/>
      <c r="D9" s="1"/>
      <c r="E9" s="1"/>
      <c r="F9" s="1"/>
      <c r="G9" s="1"/>
      <c r="H9" s="1"/>
      <c r="I9" s="1"/>
      <c r="J9" s="1"/>
      <c r="K9" s="1"/>
      <c r="L9" s="1" t="s">
        <v>44</v>
      </c>
      <c r="M9" s="1"/>
      <c r="N9" s="71">
        <f ca="1">Summary!F3</f>
        <v>44692</v>
      </c>
      <c r="P9" s="203"/>
    </row>
    <row r="10" spans="1:16">
      <c r="A10" s="216"/>
      <c r="B10" s="1"/>
      <c r="C10" s="1"/>
      <c r="D10" s="1"/>
      <c r="E10" s="1"/>
      <c r="F10" s="1"/>
      <c r="G10" s="26" t="s">
        <v>131</v>
      </c>
      <c r="H10" s="61"/>
      <c r="I10" s="397"/>
      <c r="J10" s="26" t="str">
        <f>$D$8</f>
        <v>£k</v>
      </c>
      <c r="K10" s="1"/>
      <c r="L10" s="216" t="s">
        <v>46</v>
      </c>
      <c r="M10" s="1"/>
      <c r="N10" s="181">
        <f>Summary!F4</f>
        <v>0</v>
      </c>
      <c r="P10" s="250"/>
    </row>
    <row r="11" spans="1:16">
      <c r="A11" s="1"/>
      <c r="B11" s="1"/>
      <c r="C11" s="1"/>
      <c r="D11" s="1"/>
      <c r="E11" s="1"/>
      <c r="F11" s="1"/>
      <c r="G11" s="15" t="s">
        <v>132</v>
      </c>
      <c r="H11" s="25"/>
      <c r="I11" s="398" t="s">
        <v>133</v>
      </c>
      <c r="J11" s="235" t="s">
        <v>134</v>
      </c>
      <c r="K11" s="1"/>
      <c r="L11" s="216" t="s">
        <v>47</v>
      </c>
      <c r="M11" s="1"/>
      <c r="N11" s="181">
        <f>Summary!F5</f>
        <v>0</v>
      </c>
      <c r="P11" s="203"/>
    </row>
    <row r="12" spans="1:16">
      <c r="A12" s="3"/>
      <c r="B12" s="24" t="s">
        <v>135</v>
      </c>
      <c r="C12" s="24"/>
      <c r="D12" s="24"/>
      <c r="E12" s="24" t="s">
        <v>136</v>
      </c>
      <c r="F12" s="1"/>
      <c r="G12" s="26" t="s">
        <v>137</v>
      </c>
      <c r="H12" s="61"/>
      <c r="I12" s="295"/>
      <c r="J12" s="295"/>
      <c r="K12" s="15" t="str">
        <f>CONCATENATE($D$8,"/yr")</f>
        <v>£k/yr</v>
      </c>
      <c r="L12" s="216" t="s">
        <v>49</v>
      </c>
      <c r="M12" s="1"/>
      <c r="N12" s="181">
        <f>Summary!F6</f>
        <v>0</v>
      </c>
    </row>
    <row r="13" spans="1:16">
      <c r="A13" s="12" t="s">
        <v>138</v>
      </c>
      <c r="B13" s="168">
        <v>0</v>
      </c>
      <c r="C13" s="53">
        <v>10</v>
      </c>
      <c r="D13" s="53">
        <v>30</v>
      </c>
      <c r="E13" s="168">
        <v>99</v>
      </c>
      <c r="F13" s="1"/>
      <c r="G13" s="26" t="s">
        <v>139</v>
      </c>
      <c r="H13" s="61"/>
      <c r="I13" s="296"/>
      <c r="J13" s="296"/>
      <c r="K13" s="15" t="str">
        <f t="shared" ref="K13:K15" si="0">CONCATENATE($D$8,"/yr")</f>
        <v>£k/yr</v>
      </c>
      <c r="L13" s="216"/>
      <c r="M13" s="1"/>
      <c r="N13" s="9"/>
    </row>
    <row r="14" spans="1:16">
      <c r="A14" s="12" t="s">
        <v>140</v>
      </c>
      <c r="B14" s="58">
        <v>0.1</v>
      </c>
      <c r="C14" s="58">
        <v>1</v>
      </c>
      <c r="D14" s="58">
        <v>1</v>
      </c>
      <c r="E14" s="58">
        <v>1</v>
      </c>
      <c r="F14" s="1"/>
      <c r="G14" s="26" t="s">
        <v>141</v>
      </c>
      <c r="H14" s="61"/>
      <c r="I14" s="296"/>
      <c r="J14" s="296"/>
      <c r="K14" s="15" t="str">
        <f t="shared" si="0"/>
        <v>£k/yr</v>
      </c>
      <c r="L14" s="216"/>
      <c r="M14" s="1"/>
      <c r="N14" s="9"/>
    </row>
    <row r="15" spans="1:16">
      <c r="A15" s="12"/>
      <c r="B15" s="1"/>
      <c r="C15" s="1"/>
      <c r="D15" s="1"/>
      <c r="E15" s="1"/>
      <c r="F15" s="1"/>
      <c r="G15" s="26" t="s">
        <v>142</v>
      </c>
      <c r="H15" s="61"/>
      <c r="I15" s="295"/>
      <c r="J15" s="295"/>
      <c r="K15" s="15" t="str">
        <f t="shared" si="0"/>
        <v>£k/yr</v>
      </c>
      <c r="L15" s="216"/>
      <c r="M15" s="1"/>
      <c r="N15" s="9"/>
    </row>
    <row r="16" spans="1:16" ht="13.5" thickBot="1">
      <c r="A16" s="3"/>
      <c r="B16" s="1"/>
      <c r="C16" s="1"/>
      <c r="D16" s="1"/>
      <c r="E16" s="1"/>
      <c r="F16" s="1"/>
      <c r="G16" s="1"/>
      <c r="H16" s="1"/>
      <c r="I16" s="1"/>
      <c r="J16" s="1"/>
      <c r="K16" s="1"/>
      <c r="L16" s="1"/>
      <c r="M16" s="1"/>
      <c r="N16" s="9"/>
    </row>
    <row r="17" spans="1:23" ht="13.5" thickBot="1">
      <c r="A17" s="3"/>
      <c r="B17" s="1"/>
      <c r="C17" s="1"/>
      <c r="D17" s="1"/>
      <c r="E17" s="1"/>
      <c r="F17" s="1"/>
      <c r="G17" s="26"/>
      <c r="H17" s="61"/>
      <c r="I17" s="61"/>
      <c r="J17" s="61"/>
      <c r="K17" s="61"/>
      <c r="L17" s="1"/>
      <c r="M17" s="251" t="s">
        <v>143</v>
      </c>
      <c r="N17" s="252">
        <f>SUM(N20:N119)</f>
        <v>0</v>
      </c>
    </row>
    <row r="18" spans="1:23">
      <c r="A18" s="16" t="s">
        <v>138</v>
      </c>
      <c r="B18" s="234" t="s">
        <v>117</v>
      </c>
      <c r="C18" s="234" t="s">
        <v>118</v>
      </c>
      <c r="D18" s="7" t="s">
        <v>144</v>
      </c>
      <c r="E18" s="17"/>
      <c r="F18" s="238" t="s">
        <v>145</v>
      </c>
      <c r="G18" s="240" t="s">
        <v>146</v>
      </c>
      <c r="H18" s="236"/>
      <c r="I18" s="18"/>
      <c r="J18" s="75" t="s">
        <v>147</v>
      </c>
      <c r="K18" s="75"/>
      <c r="L18" s="75"/>
      <c r="M18" s="18"/>
      <c r="N18" s="65" t="s">
        <v>148</v>
      </c>
    </row>
    <row r="19" spans="1:23" ht="27" customHeight="1" thickBot="1">
      <c r="A19" s="10"/>
      <c r="B19" s="237" t="s">
        <v>149</v>
      </c>
      <c r="C19" s="237" t="s">
        <v>149</v>
      </c>
      <c r="D19" s="19" t="s">
        <v>150</v>
      </c>
      <c r="E19" s="19" t="s">
        <v>151</v>
      </c>
      <c r="F19" s="239" t="s">
        <v>152</v>
      </c>
      <c r="G19" s="233" t="s">
        <v>153</v>
      </c>
      <c r="H19" s="233" t="s">
        <v>154</v>
      </c>
      <c r="I19" s="233" t="s">
        <v>155</v>
      </c>
      <c r="J19" s="233" t="s">
        <v>156</v>
      </c>
      <c r="K19" s="60" t="s">
        <v>157</v>
      </c>
      <c r="L19" s="233" t="s">
        <v>158</v>
      </c>
      <c r="M19" s="60"/>
      <c r="N19" s="66" t="s">
        <v>159</v>
      </c>
      <c r="P19" s="253"/>
    </row>
    <row r="20" spans="1:23">
      <c r="A20" s="54">
        <v>0</v>
      </c>
      <c r="B20" s="38">
        <f>Metadata!C23</f>
        <v>1</v>
      </c>
      <c r="C20" s="38">
        <f>Metadata!G23</f>
        <v>1</v>
      </c>
      <c r="D20" s="38">
        <f t="shared" ref="D20:D51" si="1">IF(A20&lt;$B$13,$B$14,(IF(A20&lt;$C$13,($B$14+($C$14-$B$14)*(A20-$B$13)/($C$13-$B$13)),(IF(A20&lt;$D$13,($C$14+($D$14-$C$14)*(A20-$C$13)/($D$13-$C$13)),(IF(A20&lt;$E$13,($D$14+($E$14-$D$14)*(A20-$D$13)/($E$13-$D$13)),$E$14)))))))</f>
        <v>0.1</v>
      </c>
      <c r="E20" s="38">
        <f>D20</f>
        <v>0.1</v>
      </c>
      <c r="F20" s="241">
        <f>1-E20</f>
        <v>0.9</v>
      </c>
      <c r="G20" s="242">
        <f t="shared" ref="G20:G51" si="2">E20*$I$10</f>
        <v>0</v>
      </c>
      <c r="H20" s="242">
        <f>$I$12*F20</f>
        <v>0</v>
      </c>
      <c r="I20" s="242">
        <f>$J$12*(1-F20)</f>
        <v>0</v>
      </c>
      <c r="J20" s="243"/>
      <c r="K20" s="243"/>
      <c r="L20" s="243"/>
      <c r="M20" s="243"/>
      <c r="N20" s="244">
        <f>(SUM(G20:K20)*B20)+(L20*C20)</f>
        <v>0</v>
      </c>
      <c r="P20" s="253"/>
      <c r="W20" s="69"/>
    </row>
    <row r="21" spans="1:23">
      <c r="A21" s="54">
        <f t="shared" ref="A21:A52" si="3">A20+1</f>
        <v>1</v>
      </c>
      <c r="B21" s="38">
        <f>Metadata!C24</f>
        <v>0.96618357487922713</v>
      </c>
      <c r="C21" s="38">
        <f>Metadata!G24</f>
        <v>0.98522167487684742</v>
      </c>
      <c r="D21" s="38">
        <f t="shared" si="1"/>
        <v>0.19</v>
      </c>
      <c r="E21" s="38">
        <f t="shared" ref="E21:E52" si="4">D21*F20</f>
        <v>0.17100000000000001</v>
      </c>
      <c r="F21" s="241">
        <f t="shared" ref="F21:F52" si="5">F20-E21</f>
        <v>0.72899999999999998</v>
      </c>
      <c r="G21" s="242">
        <f t="shared" si="2"/>
        <v>0</v>
      </c>
      <c r="H21" s="242">
        <f t="shared" ref="H21:H84" si="6">F21*$I$12</f>
        <v>0</v>
      </c>
      <c r="I21" s="242">
        <f t="shared" ref="I21:I84" si="7">$J$12*(1-F21)</f>
        <v>0</v>
      </c>
      <c r="J21" s="243"/>
      <c r="K21" s="243"/>
      <c r="L21" s="243"/>
      <c r="M21" s="243"/>
      <c r="N21" s="244">
        <f t="shared" ref="N21:N84" si="8">(SUM(G21:K21)*B21)+(L21*C21)</f>
        <v>0</v>
      </c>
      <c r="P21" s="214"/>
    </row>
    <row r="22" spans="1:23">
      <c r="A22" s="54">
        <f t="shared" si="3"/>
        <v>2</v>
      </c>
      <c r="B22" s="38">
        <f>Metadata!C25</f>
        <v>0.93351070036640305</v>
      </c>
      <c r="C22" s="38">
        <f>Metadata!G25</f>
        <v>0.97066174864714039</v>
      </c>
      <c r="D22" s="38">
        <f t="shared" si="1"/>
        <v>0.28000000000000003</v>
      </c>
      <c r="E22" s="38">
        <f t="shared" si="4"/>
        <v>0.20412000000000002</v>
      </c>
      <c r="F22" s="241">
        <f t="shared" si="5"/>
        <v>0.52488000000000001</v>
      </c>
      <c r="G22" s="242">
        <f t="shared" si="2"/>
        <v>0</v>
      </c>
      <c r="H22" s="242">
        <f t="shared" si="6"/>
        <v>0</v>
      </c>
      <c r="I22" s="242">
        <f t="shared" si="7"/>
        <v>0</v>
      </c>
      <c r="J22" s="243"/>
      <c r="K22" s="243"/>
      <c r="L22" s="243"/>
      <c r="M22" s="243"/>
      <c r="N22" s="244">
        <f t="shared" si="8"/>
        <v>0</v>
      </c>
      <c r="P22" s="214"/>
    </row>
    <row r="23" spans="1:23">
      <c r="A23" s="54">
        <f t="shared" si="3"/>
        <v>3</v>
      </c>
      <c r="B23" s="38">
        <f>Metadata!C26</f>
        <v>0.90194270566802237</v>
      </c>
      <c r="C23" s="38">
        <f>Metadata!G26</f>
        <v>0.95631699374102508</v>
      </c>
      <c r="D23" s="38">
        <f t="shared" si="1"/>
        <v>0.37</v>
      </c>
      <c r="E23" s="38">
        <f t="shared" si="4"/>
        <v>0.19420560000000001</v>
      </c>
      <c r="F23" s="241">
        <f t="shared" si="5"/>
        <v>0.33067440000000003</v>
      </c>
      <c r="G23" s="242">
        <f t="shared" si="2"/>
        <v>0</v>
      </c>
      <c r="H23" s="242">
        <f t="shared" si="6"/>
        <v>0</v>
      </c>
      <c r="I23" s="242">
        <f t="shared" si="7"/>
        <v>0</v>
      </c>
      <c r="J23" s="243"/>
      <c r="K23" s="243"/>
      <c r="L23" s="243"/>
      <c r="M23" s="243"/>
      <c r="N23" s="244">
        <f t="shared" si="8"/>
        <v>0</v>
      </c>
      <c r="P23" s="214"/>
    </row>
    <row r="24" spans="1:23">
      <c r="A24" s="54">
        <f t="shared" si="3"/>
        <v>4</v>
      </c>
      <c r="B24" s="38">
        <f>Metadata!C27</f>
        <v>0.87144222769857238</v>
      </c>
      <c r="C24" s="38">
        <f>Metadata!G27</f>
        <v>0.94218423028672427</v>
      </c>
      <c r="D24" s="38">
        <f t="shared" si="1"/>
        <v>0.45999999999999996</v>
      </c>
      <c r="E24" s="38">
        <f t="shared" si="4"/>
        <v>0.15211022400000002</v>
      </c>
      <c r="F24" s="241">
        <f t="shared" si="5"/>
        <v>0.17856417600000002</v>
      </c>
      <c r="G24" s="242">
        <f t="shared" si="2"/>
        <v>0</v>
      </c>
      <c r="H24" s="242">
        <f t="shared" si="6"/>
        <v>0</v>
      </c>
      <c r="I24" s="242">
        <f t="shared" si="7"/>
        <v>0</v>
      </c>
      <c r="J24" s="243"/>
      <c r="K24" s="243"/>
      <c r="L24" s="243"/>
      <c r="M24" s="243"/>
      <c r="N24" s="244">
        <f t="shared" si="8"/>
        <v>0</v>
      </c>
    </row>
    <row r="25" spans="1:23">
      <c r="A25" s="54">
        <f t="shared" si="3"/>
        <v>5</v>
      </c>
      <c r="B25" s="38">
        <f>Metadata!C28</f>
        <v>0.84197316685852408</v>
      </c>
      <c r="C25" s="38">
        <f>Metadata!G28</f>
        <v>0.92826032540563974</v>
      </c>
      <c r="D25" s="38">
        <f t="shared" si="1"/>
        <v>0.55000000000000004</v>
      </c>
      <c r="E25" s="38">
        <f t="shared" si="4"/>
        <v>9.8210296800000013E-2</v>
      </c>
      <c r="F25" s="241">
        <f t="shared" si="5"/>
        <v>8.0353879200000006E-2</v>
      </c>
      <c r="G25" s="242">
        <f t="shared" si="2"/>
        <v>0</v>
      </c>
      <c r="H25" s="242">
        <f t="shared" si="6"/>
        <v>0</v>
      </c>
      <c r="I25" s="242">
        <f t="shared" si="7"/>
        <v>0</v>
      </c>
      <c r="J25" s="243"/>
      <c r="K25" s="243"/>
      <c r="L25" s="243"/>
      <c r="M25" s="243"/>
      <c r="N25" s="244">
        <f t="shared" si="8"/>
        <v>0</v>
      </c>
    </row>
    <row r="26" spans="1:23">
      <c r="A26" s="54">
        <f t="shared" si="3"/>
        <v>6</v>
      </c>
      <c r="B26" s="38">
        <f>Metadata!C29</f>
        <v>0.81350064430775282</v>
      </c>
      <c r="C26" s="38">
        <f>Metadata!G29</f>
        <v>0.91454219251787172</v>
      </c>
      <c r="D26" s="38">
        <f t="shared" si="1"/>
        <v>0.64</v>
      </c>
      <c r="E26" s="38">
        <f t="shared" si="4"/>
        <v>5.1426482688000007E-2</v>
      </c>
      <c r="F26" s="241">
        <f t="shared" si="5"/>
        <v>2.8927396511999999E-2</v>
      </c>
      <c r="G26" s="242">
        <f t="shared" si="2"/>
        <v>0</v>
      </c>
      <c r="H26" s="242">
        <f t="shared" si="6"/>
        <v>0</v>
      </c>
      <c r="I26" s="242">
        <f t="shared" si="7"/>
        <v>0</v>
      </c>
      <c r="J26" s="243"/>
      <c r="K26" s="243"/>
      <c r="L26" s="243"/>
      <c r="M26" s="243"/>
      <c r="N26" s="244">
        <f t="shared" si="8"/>
        <v>0</v>
      </c>
    </row>
    <row r="27" spans="1:23">
      <c r="A27" s="54">
        <f t="shared" si="3"/>
        <v>7</v>
      </c>
      <c r="B27" s="38">
        <f>Metadata!C30</f>
        <v>0.78599096068381924</v>
      </c>
      <c r="C27" s="38">
        <f>Metadata!G30</f>
        <v>0.90102679065800173</v>
      </c>
      <c r="D27" s="38">
        <f t="shared" si="1"/>
        <v>0.73</v>
      </c>
      <c r="E27" s="38">
        <f t="shared" si="4"/>
        <v>2.1116999453759999E-2</v>
      </c>
      <c r="F27" s="241">
        <f t="shared" si="5"/>
        <v>7.8103970582399998E-3</v>
      </c>
      <c r="G27" s="242">
        <f t="shared" si="2"/>
        <v>0</v>
      </c>
      <c r="H27" s="242">
        <f t="shared" si="6"/>
        <v>0</v>
      </c>
      <c r="I27" s="242">
        <f t="shared" si="7"/>
        <v>0</v>
      </c>
      <c r="J27" s="243"/>
      <c r="K27" s="243"/>
      <c r="L27" s="243"/>
      <c r="M27" s="243"/>
      <c r="N27" s="244">
        <f t="shared" si="8"/>
        <v>0</v>
      </c>
    </row>
    <row r="28" spans="1:23">
      <c r="A28" s="54">
        <f t="shared" si="3"/>
        <v>8</v>
      </c>
      <c r="B28" s="38">
        <f>Metadata!C31</f>
        <v>0.75941155621625056</v>
      </c>
      <c r="C28" s="38">
        <f>Metadata!G31</f>
        <v>0.88771112380098705</v>
      </c>
      <c r="D28" s="38">
        <f t="shared" si="1"/>
        <v>0.82</v>
      </c>
      <c r="E28" s="38">
        <f t="shared" si="4"/>
        <v>6.4045255877567993E-3</v>
      </c>
      <c r="F28" s="241">
        <f t="shared" si="5"/>
        <v>1.4058714704832005E-3</v>
      </c>
      <c r="G28" s="242">
        <f t="shared" si="2"/>
        <v>0</v>
      </c>
      <c r="H28" s="242">
        <f t="shared" si="6"/>
        <v>0</v>
      </c>
      <c r="I28" s="242">
        <f t="shared" si="7"/>
        <v>0</v>
      </c>
      <c r="J28" s="243"/>
      <c r="K28" s="243"/>
      <c r="L28" s="243"/>
      <c r="M28" s="243"/>
      <c r="N28" s="244">
        <f t="shared" si="8"/>
        <v>0</v>
      </c>
    </row>
    <row r="29" spans="1:23">
      <c r="A29" s="54">
        <f t="shared" si="3"/>
        <v>9</v>
      </c>
      <c r="B29" s="38">
        <f>Metadata!C32</f>
        <v>0.73373097218961414</v>
      </c>
      <c r="C29" s="38">
        <f>Metadata!G32</f>
        <v>0.87459224019801685</v>
      </c>
      <c r="D29" s="38">
        <f t="shared" si="1"/>
        <v>0.90999999999999992</v>
      </c>
      <c r="E29" s="38">
        <f t="shared" si="4"/>
        <v>1.2793430381397124E-3</v>
      </c>
      <c r="F29" s="241">
        <f t="shared" si="5"/>
        <v>1.2652843234348815E-4</v>
      </c>
      <c r="G29" s="242">
        <f t="shared" si="2"/>
        <v>0</v>
      </c>
      <c r="H29" s="242">
        <f t="shared" si="6"/>
        <v>0</v>
      </c>
      <c r="I29" s="242">
        <f t="shared" si="7"/>
        <v>0</v>
      </c>
      <c r="J29" s="243"/>
      <c r="K29" s="243"/>
      <c r="L29" s="243"/>
      <c r="M29" s="243"/>
      <c r="N29" s="244">
        <f t="shared" si="8"/>
        <v>0</v>
      </c>
    </row>
    <row r="30" spans="1:23">
      <c r="A30" s="54">
        <f t="shared" si="3"/>
        <v>10</v>
      </c>
      <c r="B30" s="38">
        <f>Metadata!C33</f>
        <v>0.70891881370977217</v>
      </c>
      <c r="C30" s="38">
        <f>Metadata!G33</f>
        <v>0.86166723172218418</v>
      </c>
      <c r="D30" s="38">
        <f t="shared" si="1"/>
        <v>1</v>
      </c>
      <c r="E30" s="38">
        <f t="shared" si="4"/>
        <v>1.2652843234348815E-4</v>
      </c>
      <c r="F30" s="241">
        <f t="shared" si="5"/>
        <v>0</v>
      </c>
      <c r="G30" s="242">
        <f t="shared" si="2"/>
        <v>0</v>
      </c>
      <c r="H30" s="242">
        <f t="shared" si="6"/>
        <v>0</v>
      </c>
      <c r="I30" s="242">
        <f t="shared" si="7"/>
        <v>0</v>
      </c>
      <c r="J30" s="243"/>
      <c r="K30" s="243"/>
      <c r="L30" s="243"/>
      <c r="M30" s="243"/>
      <c r="N30" s="244">
        <f t="shared" si="8"/>
        <v>0</v>
      </c>
    </row>
    <row r="31" spans="1:23">
      <c r="A31" s="54">
        <f t="shared" si="3"/>
        <v>11</v>
      </c>
      <c r="B31" s="38">
        <f>Metadata!C34</f>
        <v>0.68494571372924851</v>
      </c>
      <c r="C31" s="38">
        <f>Metadata!G34</f>
        <v>0.84893323322382686</v>
      </c>
      <c r="D31" s="38">
        <f t="shared" si="1"/>
        <v>1</v>
      </c>
      <c r="E31" s="38">
        <f t="shared" si="4"/>
        <v>0</v>
      </c>
      <c r="F31" s="241">
        <f t="shared" si="5"/>
        <v>0</v>
      </c>
      <c r="G31" s="242">
        <f t="shared" si="2"/>
        <v>0</v>
      </c>
      <c r="H31" s="242">
        <f t="shared" si="6"/>
        <v>0</v>
      </c>
      <c r="I31" s="242">
        <f t="shared" si="7"/>
        <v>0</v>
      </c>
      <c r="J31" s="243"/>
      <c r="K31" s="243"/>
      <c r="L31" s="243"/>
      <c r="M31" s="243"/>
      <c r="N31" s="244">
        <f t="shared" si="8"/>
        <v>0</v>
      </c>
    </row>
    <row r="32" spans="1:23">
      <c r="A32" s="54">
        <f t="shared" si="3"/>
        <v>12</v>
      </c>
      <c r="B32" s="38">
        <f>Metadata!C35</f>
        <v>0.66178329828912907</v>
      </c>
      <c r="C32" s="38">
        <f>Metadata!G35</f>
        <v>0.83638742189539594</v>
      </c>
      <c r="D32" s="38">
        <f t="shared" si="1"/>
        <v>1</v>
      </c>
      <c r="E32" s="38">
        <f t="shared" si="4"/>
        <v>0</v>
      </c>
      <c r="F32" s="241">
        <f t="shared" si="5"/>
        <v>0</v>
      </c>
      <c r="G32" s="242">
        <f t="shared" si="2"/>
        <v>0</v>
      </c>
      <c r="H32" s="242">
        <f t="shared" si="6"/>
        <v>0</v>
      </c>
      <c r="I32" s="242">
        <f t="shared" si="7"/>
        <v>0</v>
      </c>
      <c r="J32" s="243"/>
      <c r="K32" s="243"/>
      <c r="L32" s="243"/>
      <c r="M32" s="243"/>
      <c r="N32" s="244">
        <f t="shared" si="8"/>
        <v>0</v>
      </c>
    </row>
    <row r="33" spans="1:14">
      <c r="A33" s="54">
        <f t="shared" si="3"/>
        <v>13</v>
      </c>
      <c r="B33" s="38">
        <f>Metadata!C36</f>
        <v>0.63940415293635666</v>
      </c>
      <c r="C33" s="38">
        <f>Metadata!G36</f>
        <v>0.82402701664571032</v>
      </c>
      <c r="D33" s="38">
        <f t="shared" si="1"/>
        <v>1</v>
      </c>
      <c r="E33" s="38">
        <f t="shared" si="4"/>
        <v>0</v>
      </c>
      <c r="F33" s="241">
        <f t="shared" si="5"/>
        <v>0</v>
      </c>
      <c r="G33" s="242">
        <f t="shared" si="2"/>
        <v>0</v>
      </c>
      <c r="H33" s="242">
        <f t="shared" si="6"/>
        <v>0</v>
      </c>
      <c r="I33" s="242">
        <f t="shared" si="7"/>
        <v>0</v>
      </c>
      <c r="J33" s="243"/>
      <c r="K33" s="243"/>
      <c r="L33" s="243"/>
      <c r="M33" s="243"/>
      <c r="N33" s="244">
        <f t="shared" si="8"/>
        <v>0</v>
      </c>
    </row>
    <row r="34" spans="1:14">
      <c r="A34" s="54">
        <f t="shared" si="3"/>
        <v>14</v>
      </c>
      <c r="B34" s="38">
        <f>Metadata!C37</f>
        <v>0.61778179027667313</v>
      </c>
      <c r="C34" s="38">
        <f>Metadata!G37</f>
        <v>0.81184927748345848</v>
      </c>
      <c r="D34" s="38">
        <f t="shared" si="1"/>
        <v>1</v>
      </c>
      <c r="E34" s="38">
        <f t="shared" si="4"/>
        <v>0</v>
      </c>
      <c r="F34" s="241">
        <f t="shared" si="5"/>
        <v>0</v>
      </c>
      <c r="G34" s="242">
        <f t="shared" si="2"/>
        <v>0</v>
      </c>
      <c r="H34" s="242">
        <f t="shared" si="6"/>
        <v>0</v>
      </c>
      <c r="I34" s="242">
        <f t="shared" si="7"/>
        <v>0</v>
      </c>
      <c r="J34" s="243"/>
      <c r="K34" s="243"/>
      <c r="L34" s="243"/>
      <c r="M34" s="243"/>
      <c r="N34" s="244">
        <f t="shared" si="8"/>
        <v>0</v>
      </c>
    </row>
    <row r="35" spans="1:14">
      <c r="A35" s="54">
        <f t="shared" si="3"/>
        <v>15</v>
      </c>
      <c r="B35" s="38">
        <f>Metadata!C38</f>
        <v>0.59689061862480497</v>
      </c>
      <c r="C35" s="38">
        <f>Metadata!G38</f>
        <v>0.79985150490981138</v>
      </c>
      <c r="D35" s="38">
        <f t="shared" si="1"/>
        <v>1</v>
      </c>
      <c r="E35" s="38">
        <f t="shared" si="4"/>
        <v>0</v>
      </c>
      <c r="F35" s="241">
        <f t="shared" si="5"/>
        <v>0</v>
      </c>
      <c r="G35" s="242">
        <f t="shared" si="2"/>
        <v>0</v>
      </c>
      <c r="H35" s="242">
        <f t="shared" si="6"/>
        <v>0</v>
      </c>
      <c r="I35" s="242">
        <f t="shared" si="7"/>
        <v>0</v>
      </c>
      <c r="J35" s="243"/>
      <c r="K35" s="243"/>
      <c r="L35" s="243"/>
      <c r="M35" s="243"/>
      <c r="N35" s="244">
        <f t="shared" si="8"/>
        <v>0</v>
      </c>
    </row>
    <row r="36" spans="1:14">
      <c r="A36" s="54">
        <f t="shared" si="3"/>
        <v>16</v>
      </c>
      <c r="B36" s="38">
        <f>Metadata!C39</f>
        <v>0.57670591171478747</v>
      </c>
      <c r="C36" s="38">
        <f>Metadata!G39</f>
        <v>0.78803103932001128</v>
      </c>
      <c r="D36" s="38">
        <f t="shared" si="1"/>
        <v>1</v>
      </c>
      <c r="E36" s="38">
        <f t="shared" si="4"/>
        <v>0</v>
      </c>
      <c r="F36" s="241">
        <f t="shared" si="5"/>
        <v>0</v>
      </c>
      <c r="G36" s="242">
        <f t="shared" si="2"/>
        <v>0</v>
      </c>
      <c r="H36" s="242">
        <f t="shared" si="6"/>
        <v>0</v>
      </c>
      <c r="I36" s="242">
        <f t="shared" si="7"/>
        <v>0</v>
      </c>
      <c r="J36" s="243"/>
      <c r="K36" s="243"/>
      <c r="L36" s="243"/>
      <c r="M36" s="243"/>
      <c r="N36" s="244">
        <f t="shared" si="8"/>
        <v>0</v>
      </c>
    </row>
    <row r="37" spans="1:14">
      <c r="A37" s="54">
        <f t="shared" si="3"/>
        <v>17</v>
      </c>
      <c r="B37" s="38">
        <f>Metadata!C40</f>
        <v>0.55720377943457733</v>
      </c>
      <c r="C37" s="38">
        <f>Metadata!G40</f>
        <v>0.77638526041380429</v>
      </c>
      <c r="D37" s="38">
        <f t="shared" si="1"/>
        <v>1</v>
      </c>
      <c r="E37" s="38">
        <f t="shared" si="4"/>
        <v>0</v>
      </c>
      <c r="F37" s="241">
        <f t="shared" si="5"/>
        <v>0</v>
      </c>
      <c r="G37" s="242">
        <f t="shared" si="2"/>
        <v>0</v>
      </c>
      <c r="H37" s="242">
        <f t="shared" si="6"/>
        <v>0</v>
      </c>
      <c r="I37" s="242">
        <f t="shared" si="7"/>
        <v>0</v>
      </c>
      <c r="J37" s="243"/>
      <c r="K37" s="243"/>
      <c r="L37" s="243"/>
      <c r="M37" s="243"/>
      <c r="N37" s="244">
        <f t="shared" si="8"/>
        <v>0</v>
      </c>
    </row>
    <row r="38" spans="1:14">
      <c r="A38" s="54">
        <f t="shared" si="3"/>
        <v>18</v>
      </c>
      <c r="B38" s="38">
        <f>Metadata!C41</f>
        <v>0.53836113955031628</v>
      </c>
      <c r="C38" s="38">
        <f>Metadata!G41</f>
        <v>0.76491158661458558</v>
      </c>
      <c r="D38" s="38">
        <f t="shared" si="1"/>
        <v>1</v>
      </c>
      <c r="E38" s="38">
        <f t="shared" si="4"/>
        <v>0</v>
      </c>
      <c r="F38" s="241">
        <f t="shared" si="5"/>
        <v>0</v>
      </c>
      <c r="G38" s="242">
        <f t="shared" si="2"/>
        <v>0</v>
      </c>
      <c r="H38" s="242">
        <f t="shared" si="6"/>
        <v>0</v>
      </c>
      <c r="I38" s="242">
        <f t="shared" si="7"/>
        <v>0</v>
      </c>
      <c r="J38" s="243"/>
      <c r="K38" s="243"/>
      <c r="L38" s="243"/>
      <c r="M38" s="243"/>
      <c r="N38" s="244">
        <f t="shared" si="8"/>
        <v>0</v>
      </c>
    </row>
    <row r="39" spans="1:14">
      <c r="A39" s="54">
        <f t="shared" si="3"/>
        <v>19</v>
      </c>
      <c r="B39" s="38">
        <f>Metadata!C42</f>
        <v>0.520155690386779</v>
      </c>
      <c r="C39" s="38">
        <f>Metadata!G42</f>
        <v>0.75360747449712873</v>
      </c>
      <c r="D39" s="38">
        <f t="shared" si="1"/>
        <v>1</v>
      </c>
      <c r="E39" s="38">
        <f t="shared" si="4"/>
        <v>0</v>
      </c>
      <c r="F39" s="241">
        <f t="shared" si="5"/>
        <v>0</v>
      </c>
      <c r="G39" s="242">
        <f t="shared" si="2"/>
        <v>0</v>
      </c>
      <c r="H39" s="242">
        <f t="shared" si="6"/>
        <v>0</v>
      </c>
      <c r="I39" s="242">
        <f t="shared" si="7"/>
        <v>0</v>
      </c>
      <c r="J39" s="243"/>
      <c r="K39" s="243"/>
      <c r="L39" s="243"/>
      <c r="M39" s="243"/>
      <c r="N39" s="244">
        <f t="shared" si="8"/>
        <v>0</v>
      </c>
    </row>
    <row r="40" spans="1:14">
      <c r="A40" s="54">
        <f t="shared" si="3"/>
        <v>20</v>
      </c>
      <c r="B40" s="38">
        <f>Metadata!C43</f>
        <v>0.50256588443167061</v>
      </c>
      <c r="C40" s="38">
        <f>Metadata!G43</f>
        <v>0.74247041822377224</v>
      </c>
      <c r="D40" s="38">
        <f t="shared" si="1"/>
        <v>1</v>
      </c>
      <c r="E40" s="38">
        <f t="shared" si="4"/>
        <v>0</v>
      </c>
      <c r="F40" s="241">
        <f t="shared" si="5"/>
        <v>0</v>
      </c>
      <c r="G40" s="242">
        <f t="shared" si="2"/>
        <v>0</v>
      </c>
      <c r="H40" s="242">
        <f t="shared" si="6"/>
        <v>0</v>
      </c>
      <c r="I40" s="242">
        <f t="shared" si="7"/>
        <v>0</v>
      </c>
      <c r="J40" s="243"/>
      <c r="K40" s="243"/>
      <c r="L40" s="243"/>
      <c r="M40" s="243"/>
      <c r="N40" s="244">
        <f t="shared" si="8"/>
        <v>0</v>
      </c>
    </row>
    <row r="41" spans="1:14">
      <c r="A41" s="54">
        <f t="shared" si="3"/>
        <v>21</v>
      </c>
      <c r="B41" s="38">
        <f>Metadata!C44</f>
        <v>0.48557090283253201</v>
      </c>
      <c r="C41" s="38">
        <f>Metadata!G44</f>
        <v>0.73149794898893827</v>
      </c>
      <c r="D41" s="38">
        <f t="shared" si="1"/>
        <v>1</v>
      </c>
      <c r="E41" s="38">
        <f t="shared" si="4"/>
        <v>0</v>
      </c>
      <c r="F41" s="241">
        <f t="shared" si="5"/>
        <v>0</v>
      </c>
      <c r="G41" s="242">
        <f t="shared" si="2"/>
        <v>0</v>
      </c>
      <c r="H41" s="242">
        <f t="shared" si="6"/>
        <v>0</v>
      </c>
      <c r="I41" s="242">
        <f t="shared" si="7"/>
        <v>0</v>
      </c>
      <c r="J41" s="243"/>
      <c r="K41" s="243"/>
      <c r="L41" s="243"/>
      <c r="M41" s="243"/>
      <c r="N41" s="244">
        <f t="shared" si="8"/>
        <v>0</v>
      </c>
    </row>
    <row r="42" spans="1:14">
      <c r="A42" s="54">
        <f t="shared" si="3"/>
        <v>22</v>
      </c>
      <c r="B42" s="38">
        <f>Metadata!C45</f>
        <v>0.46915063075606961</v>
      </c>
      <c r="C42" s="38">
        <f>Metadata!G45</f>
        <v>0.72068763447186046</v>
      </c>
      <c r="D42" s="38">
        <f t="shared" si="1"/>
        <v>1</v>
      </c>
      <c r="E42" s="38">
        <f t="shared" si="4"/>
        <v>0</v>
      </c>
      <c r="F42" s="241">
        <f t="shared" si="5"/>
        <v>0</v>
      </c>
      <c r="G42" s="242">
        <f t="shared" si="2"/>
        <v>0</v>
      </c>
      <c r="H42" s="242">
        <f t="shared" si="6"/>
        <v>0</v>
      </c>
      <c r="I42" s="242">
        <f t="shared" si="7"/>
        <v>0</v>
      </c>
      <c r="J42" s="243"/>
      <c r="K42" s="243"/>
      <c r="L42" s="243"/>
      <c r="M42" s="243"/>
      <c r="N42" s="244">
        <f t="shared" si="8"/>
        <v>0</v>
      </c>
    </row>
    <row r="43" spans="1:14">
      <c r="A43" s="54">
        <f t="shared" si="3"/>
        <v>23</v>
      </c>
      <c r="B43" s="38">
        <f>Metadata!C46</f>
        <v>0.45328563358074364</v>
      </c>
      <c r="C43" s="38">
        <f>Metadata!G46</f>
        <v>0.71003707829739948</v>
      </c>
      <c r="D43" s="38">
        <f t="shared" si="1"/>
        <v>1</v>
      </c>
      <c r="E43" s="38">
        <f t="shared" si="4"/>
        <v>0</v>
      </c>
      <c r="F43" s="241">
        <f t="shared" si="5"/>
        <v>0</v>
      </c>
      <c r="G43" s="242">
        <f t="shared" si="2"/>
        <v>0</v>
      </c>
      <c r="H43" s="242">
        <f t="shared" si="6"/>
        <v>0</v>
      </c>
      <c r="I43" s="242">
        <f t="shared" si="7"/>
        <v>0</v>
      </c>
      <c r="J43" s="243"/>
      <c r="K43" s="243"/>
      <c r="L43" s="243"/>
      <c r="M43" s="243"/>
      <c r="N43" s="244">
        <f t="shared" si="8"/>
        <v>0</v>
      </c>
    </row>
    <row r="44" spans="1:14">
      <c r="A44" s="54">
        <f t="shared" si="3"/>
        <v>24</v>
      </c>
      <c r="B44" s="38">
        <f>Metadata!C47</f>
        <v>0.43795713389443836</v>
      </c>
      <c r="C44" s="38">
        <f>Metadata!G47</f>
        <v>0.69954391950482719</v>
      </c>
      <c r="D44" s="38">
        <f t="shared" si="1"/>
        <v>1</v>
      </c>
      <c r="E44" s="38">
        <f t="shared" si="4"/>
        <v>0</v>
      </c>
      <c r="F44" s="241">
        <f t="shared" si="5"/>
        <v>0</v>
      </c>
      <c r="G44" s="242">
        <f t="shared" si="2"/>
        <v>0</v>
      </c>
      <c r="H44" s="242">
        <f t="shared" si="6"/>
        <v>0</v>
      </c>
      <c r="I44" s="242">
        <f t="shared" si="7"/>
        <v>0</v>
      </c>
      <c r="J44" s="243"/>
      <c r="K44" s="243"/>
      <c r="L44" s="243"/>
      <c r="M44" s="243"/>
      <c r="N44" s="244">
        <f t="shared" si="8"/>
        <v>0</v>
      </c>
    </row>
    <row r="45" spans="1:14">
      <c r="A45" s="54">
        <f t="shared" si="3"/>
        <v>25</v>
      </c>
      <c r="B45" s="38">
        <f>Metadata!C48</f>
        <v>0.42314698926998878</v>
      </c>
      <c r="C45" s="38">
        <f>Metadata!G48</f>
        <v>0.6892058320244604</v>
      </c>
      <c r="D45" s="38">
        <f t="shared" si="1"/>
        <v>1</v>
      </c>
      <c r="E45" s="38">
        <f t="shared" si="4"/>
        <v>0</v>
      </c>
      <c r="F45" s="241">
        <f t="shared" si="5"/>
        <v>0</v>
      </c>
      <c r="G45" s="242">
        <f t="shared" si="2"/>
        <v>0</v>
      </c>
      <c r="H45" s="242">
        <f t="shared" si="6"/>
        <v>0</v>
      </c>
      <c r="I45" s="242">
        <f t="shared" si="7"/>
        <v>0</v>
      </c>
      <c r="J45" s="243"/>
      <c r="K45" s="243"/>
      <c r="L45" s="243"/>
      <c r="M45" s="243"/>
      <c r="N45" s="244">
        <f t="shared" si="8"/>
        <v>0</v>
      </c>
    </row>
    <row r="46" spans="1:14">
      <c r="A46" s="54">
        <f t="shared" si="3"/>
        <v>26</v>
      </c>
      <c r="B46" s="38">
        <f>Metadata!C49</f>
        <v>0.40883767079225974</v>
      </c>
      <c r="C46" s="38">
        <f>Metadata!G49</f>
        <v>0.67902052416202996</v>
      </c>
      <c r="D46" s="38">
        <f t="shared" si="1"/>
        <v>1</v>
      </c>
      <c r="E46" s="38">
        <f t="shared" si="4"/>
        <v>0</v>
      </c>
      <c r="F46" s="241">
        <f t="shared" si="5"/>
        <v>0</v>
      </c>
      <c r="G46" s="242">
        <f t="shared" si="2"/>
        <v>0</v>
      </c>
      <c r="H46" s="242">
        <f t="shared" si="6"/>
        <v>0</v>
      </c>
      <c r="I46" s="242">
        <f t="shared" si="7"/>
        <v>0</v>
      </c>
      <c r="J46" s="243"/>
      <c r="K46" s="243"/>
      <c r="L46" s="243"/>
      <c r="M46" s="243"/>
      <c r="N46" s="244">
        <f t="shared" si="8"/>
        <v>0</v>
      </c>
    </row>
    <row r="47" spans="1:14">
      <c r="A47" s="54">
        <f t="shared" si="3"/>
        <v>27</v>
      </c>
      <c r="B47" s="38">
        <f>Metadata!C50</f>
        <v>0.39501224231136212</v>
      </c>
      <c r="C47" s="38">
        <f>Metadata!G50</f>
        <v>0.66898573809066997</v>
      </c>
      <c r="D47" s="38">
        <f t="shared" si="1"/>
        <v>1</v>
      </c>
      <c r="E47" s="38">
        <f t="shared" si="4"/>
        <v>0</v>
      </c>
      <c r="F47" s="241">
        <f t="shared" si="5"/>
        <v>0</v>
      </c>
      <c r="G47" s="242">
        <f t="shared" si="2"/>
        <v>0</v>
      </c>
      <c r="H47" s="242">
        <f t="shared" si="6"/>
        <v>0</v>
      </c>
      <c r="I47" s="242">
        <f t="shared" si="7"/>
        <v>0</v>
      </c>
      <c r="J47" s="243"/>
      <c r="K47" s="243"/>
      <c r="L47" s="243"/>
      <c r="M47" s="243"/>
      <c r="N47" s="244">
        <f t="shared" si="8"/>
        <v>0</v>
      </c>
    </row>
    <row r="48" spans="1:14">
      <c r="A48" s="54">
        <f t="shared" si="3"/>
        <v>28</v>
      </c>
      <c r="B48" s="38">
        <f>Metadata!C51</f>
        <v>0.38165434039745133</v>
      </c>
      <c r="C48" s="38">
        <f>Metadata!G51</f>
        <v>0.65909924935041386</v>
      </c>
      <c r="D48" s="38">
        <f t="shared" si="1"/>
        <v>1</v>
      </c>
      <c r="E48" s="38">
        <f t="shared" si="4"/>
        <v>0</v>
      </c>
      <c r="F48" s="241">
        <f t="shared" si="5"/>
        <v>0</v>
      </c>
      <c r="G48" s="242">
        <f t="shared" si="2"/>
        <v>0</v>
      </c>
      <c r="H48" s="242">
        <f t="shared" si="6"/>
        <v>0</v>
      </c>
      <c r="I48" s="242">
        <f t="shared" si="7"/>
        <v>0</v>
      </c>
      <c r="J48" s="243"/>
      <c r="K48" s="243"/>
      <c r="L48" s="243"/>
      <c r="M48" s="243"/>
      <c r="N48" s="244">
        <f t="shared" si="8"/>
        <v>0</v>
      </c>
    </row>
    <row r="49" spans="1:14">
      <c r="A49" s="54">
        <f t="shared" si="3"/>
        <v>29</v>
      </c>
      <c r="B49" s="38">
        <f>Metadata!C52</f>
        <v>0.36874815497338298</v>
      </c>
      <c r="C49" s="38">
        <f>Metadata!G52</f>
        <v>0.64935886635508766</v>
      </c>
      <c r="D49" s="38">
        <f t="shared" si="1"/>
        <v>1</v>
      </c>
      <c r="E49" s="38">
        <f t="shared" si="4"/>
        <v>0</v>
      </c>
      <c r="F49" s="241">
        <f t="shared" si="5"/>
        <v>0</v>
      </c>
      <c r="G49" s="242">
        <f t="shared" si="2"/>
        <v>0</v>
      </c>
      <c r="H49" s="242">
        <f t="shared" si="6"/>
        <v>0</v>
      </c>
      <c r="I49" s="242">
        <f t="shared" si="7"/>
        <v>0</v>
      </c>
      <c r="J49" s="243"/>
      <c r="K49" s="243"/>
      <c r="L49" s="243"/>
      <c r="M49" s="243"/>
      <c r="N49" s="244">
        <f t="shared" si="8"/>
        <v>0</v>
      </c>
    </row>
    <row r="50" spans="1:14">
      <c r="A50" s="54">
        <f t="shared" si="3"/>
        <v>30</v>
      </c>
      <c r="B50" s="38">
        <f>Metadata!C53</f>
        <v>0.35627841060230242</v>
      </c>
      <c r="C50" s="38">
        <f>Metadata!G53</f>
        <v>0.63976242990649035</v>
      </c>
      <c r="D50" s="38">
        <f t="shared" si="1"/>
        <v>1</v>
      </c>
      <c r="E50" s="38">
        <f t="shared" si="4"/>
        <v>0</v>
      </c>
      <c r="F50" s="241">
        <f t="shared" si="5"/>
        <v>0</v>
      </c>
      <c r="G50" s="242">
        <f t="shared" si="2"/>
        <v>0</v>
      </c>
      <c r="H50" s="242">
        <f t="shared" si="6"/>
        <v>0</v>
      </c>
      <c r="I50" s="242">
        <f t="shared" si="7"/>
        <v>0</v>
      </c>
      <c r="J50" s="243"/>
      <c r="K50" s="243"/>
      <c r="L50" s="243"/>
      <c r="M50" s="243"/>
      <c r="N50" s="244">
        <f t="shared" si="8"/>
        <v>0</v>
      </c>
    </row>
    <row r="51" spans="1:14">
      <c r="A51" s="54">
        <f t="shared" si="3"/>
        <v>31</v>
      </c>
      <c r="B51" s="38">
        <f>Metadata!C54</f>
        <v>0.34590136951679845</v>
      </c>
      <c r="C51" s="38">
        <f>Metadata!G54</f>
        <v>0.63163954535324751</v>
      </c>
      <c r="D51" s="38">
        <f t="shared" si="1"/>
        <v>1</v>
      </c>
      <c r="E51" s="38">
        <f t="shared" si="4"/>
        <v>0</v>
      </c>
      <c r="F51" s="241">
        <f t="shared" si="5"/>
        <v>0</v>
      </c>
      <c r="G51" s="242">
        <f t="shared" si="2"/>
        <v>0</v>
      </c>
      <c r="H51" s="242">
        <f t="shared" si="6"/>
        <v>0</v>
      </c>
      <c r="I51" s="242">
        <f t="shared" si="7"/>
        <v>0</v>
      </c>
      <c r="J51" s="243"/>
      <c r="K51" s="243"/>
      <c r="L51" s="243"/>
      <c r="M51" s="243"/>
      <c r="N51" s="244">
        <f t="shared" si="8"/>
        <v>0</v>
      </c>
    </row>
    <row r="52" spans="1:14">
      <c r="A52" s="54">
        <f t="shared" si="3"/>
        <v>32</v>
      </c>
      <c r="B52" s="38">
        <f>Metadata!C55</f>
        <v>0.33582657234640628</v>
      </c>
      <c r="C52" s="38">
        <f>Metadata!G55</f>
        <v>0.62361979479221952</v>
      </c>
      <c r="D52" s="38">
        <f t="shared" ref="D52:D83" si="9">IF(A52&lt;$B$13,$B$14,(IF(A52&lt;$C$13,($B$14+($C$14-$B$14)*(A52-$B$13)/($C$13-$B$13)),(IF(A52&lt;$D$13,($C$14+($D$14-$C$14)*(A52-$C$13)/($D$13-$C$13)),(IF(A52&lt;$E$13,($D$14+($E$14-$D$14)*(A52-$D$13)/($E$13-$D$13)),$E$14)))))))</f>
        <v>1</v>
      </c>
      <c r="E52" s="38">
        <f t="shared" si="4"/>
        <v>0</v>
      </c>
      <c r="F52" s="241">
        <f t="shared" si="5"/>
        <v>0</v>
      </c>
      <c r="G52" s="242">
        <f t="shared" ref="G52:G83" si="10">E52*$I$10</f>
        <v>0</v>
      </c>
      <c r="H52" s="242">
        <f t="shared" si="6"/>
        <v>0</v>
      </c>
      <c r="I52" s="242">
        <f t="shared" si="7"/>
        <v>0</v>
      </c>
      <c r="J52" s="243"/>
      <c r="K52" s="243"/>
      <c r="L52" s="243"/>
      <c r="M52" s="243"/>
      <c r="N52" s="244">
        <f t="shared" si="8"/>
        <v>0</v>
      </c>
    </row>
    <row r="53" spans="1:14">
      <c r="A53" s="54">
        <f t="shared" ref="A53:A66" si="11">A52+1</f>
        <v>33</v>
      </c>
      <c r="B53" s="38">
        <f>Metadata!C56</f>
        <v>0.32604521587029733</v>
      </c>
      <c r="C53" s="38">
        <f>Metadata!G56</f>
        <v>0.61570186875996624</v>
      </c>
      <c r="D53" s="38">
        <f t="shared" si="9"/>
        <v>1</v>
      </c>
      <c r="E53" s="38">
        <f t="shared" ref="E53:E84" si="12">D53*F52</f>
        <v>0</v>
      </c>
      <c r="F53" s="241">
        <f t="shared" ref="F53:F84" si="13">F52-E53</f>
        <v>0</v>
      </c>
      <c r="G53" s="242">
        <f t="shared" si="10"/>
        <v>0</v>
      </c>
      <c r="H53" s="242">
        <f t="shared" si="6"/>
        <v>0</v>
      </c>
      <c r="I53" s="242">
        <f t="shared" si="7"/>
        <v>0</v>
      </c>
      <c r="J53" s="243"/>
      <c r="K53" s="243"/>
      <c r="L53" s="243"/>
      <c r="M53" s="243"/>
      <c r="N53" s="244">
        <f t="shared" si="8"/>
        <v>0</v>
      </c>
    </row>
    <row r="54" spans="1:14">
      <c r="A54" s="54">
        <f t="shared" si="11"/>
        <v>34</v>
      </c>
      <c r="B54" s="38">
        <f>Metadata!C57</f>
        <v>0.31654875327213333</v>
      </c>
      <c r="C54" s="38">
        <f>Metadata!G57</f>
        <v>0.60788447441893867</v>
      </c>
      <c r="D54" s="38">
        <f t="shared" si="9"/>
        <v>1</v>
      </c>
      <c r="E54" s="38">
        <f t="shared" si="12"/>
        <v>0</v>
      </c>
      <c r="F54" s="241">
        <f t="shared" si="13"/>
        <v>0</v>
      </c>
      <c r="G54" s="242">
        <f t="shared" si="10"/>
        <v>0</v>
      </c>
      <c r="H54" s="242">
        <f t="shared" si="6"/>
        <v>0</v>
      </c>
      <c r="I54" s="242">
        <f t="shared" si="7"/>
        <v>0</v>
      </c>
      <c r="J54" s="243"/>
      <c r="K54" s="243"/>
      <c r="L54" s="243"/>
      <c r="M54" s="243"/>
      <c r="N54" s="244">
        <f t="shared" si="8"/>
        <v>0</v>
      </c>
    </row>
    <row r="55" spans="1:14">
      <c r="A55" s="54">
        <f t="shared" si="11"/>
        <v>35</v>
      </c>
      <c r="B55" s="38">
        <f>Metadata!C58</f>
        <v>0.30732888667197411</v>
      </c>
      <c r="C55" s="38">
        <f>Metadata!G58</f>
        <v>0.60016633534638408</v>
      </c>
      <c r="D55" s="38">
        <f t="shared" si="9"/>
        <v>1</v>
      </c>
      <c r="E55" s="38">
        <f t="shared" si="12"/>
        <v>0</v>
      </c>
      <c r="F55" s="241">
        <f t="shared" si="13"/>
        <v>0</v>
      </c>
      <c r="G55" s="242">
        <f t="shared" si="10"/>
        <v>0</v>
      </c>
      <c r="H55" s="242">
        <f t="shared" si="6"/>
        <v>0</v>
      </c>
      <c r="I55" s="242">
        <f t="shared" si="7"/>
        <v>0</v>
      </c>
      <c r="J55" s="243"/>
      <c r="K55" s="243"/>
      <c r="L55" s="243"/>
      <c r="M55" s="243"/>
      <c r="N55" s="244">
        <f t="shared" si="8"/>
        <v>0</v>
      </c>
    </row>
    <row r="56" spans="1:14">
      <c r="A56" s="54">
        <f t="shared" si="11"/>
        <v>36</v>
      </c>
      <c r="B56" s="38">
        <f>Metadata!C59</f>
        <v>0.29837755987570302</v>
      </c>
      <c r="C56" s="38">
        <f>Metadata!G59</f>
        <v>0.59254619132593256</v>
      </c>
      <c r="D56" s="38">
        <f t="shared" si="9"/>
        <v>1</v>
      </c>
      <c r="E56" s="38">
        <f t="shared" si="12"/>
        <v>0</v>
      </c>
      <c r="F56" s="241">
        <f t="shared" si="13"/>
        <v>0</v>
      </c>
      <c r="G56" s="242">
        <f t="shared" si="10"/>
        <v>0</v>
      </c>
      <c r="H56" s="242">
        <f t="shared" si="6"/>
        <v>0</v>
      </c>
      <c r="I56" s="242">
        <f t="shared" si="7"/>
        <v>0</v>
      </c>
      <c r="J56" s="243"/>
      <c r="K56" s="243"/>
      <c r="L56" s="243"/>
      <c r="M56" s="243"/>
      <c r="N56" s="244">
        <f t="shared" si="8"/>
        <v>0</v>
      </c>
    </row>
    <row r="57" spans="1:14">
      <c r="A57" s="54">
        <f t="shared" si="11"/>
        <v>37</v>
      </c>
      <c r="B57" s="38">
        <f>Metadata!C60</f>
        <v>0.28968695133563399</v>
      </c>
      <c r="C57" s="38">
        <f>Metadata!G60</f>
        <v>0.58502279814182856</v>
      </c>
      <c r="D57" s="38">
        <f t="shared" si="9"/>
        <v>1</v>
      </c>
      <c r="E57" s="38">
        <f t="shared" si="12"/>
        <v>0</v>
      </c>
      <c r="F57" s="241">
        <f t="shared" si="13"/>
        <v>0</v>
      </c>
      <c r="G57" s="242">
        <f t="shared" si="10"/>
        <v>0</v>
      </c>
      <c r="H57" s="242">
        <f t="shared" si="6"/>
        <v>0</v>
      </c>
      <c r="I57" s="242">
        <f t="shared" si="7"/>
        <v>0</v>
      </c>
      <c r="J57" s="243"/>
      <c r="K57" s="243"/>
      <c r="L57" s="243"/>
      <c r="M57" s="243"/>
      <c r="N57" s="244">
        <f t="shared" si="8"/>
        <v>0</v>
      </c>
    </row>
    <row r="58" spans="1:14">
      <c r="A58" s="54">
        <f t="shared" si="11"/>
        <v>38</v>
      </c>
      <c r="B58" s="38">
        <f>Metadata!C61</f>
        <v>0.28124946731614953</v>
      </c>
      <c r="C58" s="38">
        <f>Metadata!G61</f>
        <v>0.577594927375776</v>
      </c>
      <c r="D58" s="38">
        <f t="shared" si="9"/>
        <v>1</v>
      </c>
      <c r="E58" s="38">
        <f t="shared" si="12"/>
        <v>0</v>
      </c>
      <c r="F58" s="241">
        <f t="shared" si="13"/>
        <v>0</v>
      </c>
      <c r="G58" s="242">
        <f t="shared" si="10"/>
        <v>0</v>
      </c>
      <c r="H58" s="242">
        <f t="shared" si="6"/>
        <v>0</v>
      </c>
      <c r="I58" s="242">
        <f t="shared" si="7"/>
        <v>0</v>
      </c>
      <c r="J58" s="243"/>
      <c r="K58" s="243"/>
      <c r="L58" s="243"/>
      <c r="M58" s="243"/>
      <c r="N58" s="244">
        <f t="shared" si="8"/>
        <v>0</v>
      </c>
    </row>
    <row r="59" spans="1:14">
      <c r="A59" s="54">
        <f t="shared" si="11"/>
        <v>39</v>
      </c>
      <c r="B59" s="38">
        <f>Metadata!C62</f>
        <v>0.2730577352583976</v>
      </c>
      <c r="C59" s="38">
        <f>Metadata!G62</f>
        <v>0.57026136620636214</v>
      </c>
      <c r="D59" s="38">
        <f t="shared" si="9"/>
        <v>1</v>
      </c>
      <c r="E59" s="38">
        <f t="shared" si="12"/>
        <v>0</v>
      </c>
      <c r="F59" s="241">
        <f t="shared" si="13"/>
        <v>0</v>
      </c>
      <c r="G59" s="242">
        <f t="shared" si="10"/>
        <v>0</v>
      </c>
      <c r="H59" s="242">
        <f t="shared" si="6"/>
        <v>0</v>
      </c>
      <c r="I59" s="242">
        <f t="shared" si="7"/>
        <v>0</v>
      </c>
      <c r="J59" s="243"/>
      <c r="K59" s="243"/>
      <c r="L59" s="243"/>
      <c r="M59" s="243"/>
      <c r="N59" s="244">
        <f t="shared" si="8"/>
        <v>0</v>
      </c>
    </row>
    <row r="60" spans="1:14">
      <c r="A60" s="54">
        <f t="shared" si="11"/>
        <v>40</v>
      </c>
      <c r="B60" s="38">
        <f>Metadata!C63</f>
        <v>0.26510459733825009</v>
      </c>
      <c r="C60" s="38">
        <f>Metadata!G63</f>
        <v>0.56302091721102832</v>
      </c>
      <c r="D60" s="38">
        <f t="shared" si="9"/>
        <v>1</v>
      </c>
      <c r="E60" s="38">
        <f t="shared" si="12"/>
        <v>0</v>
      </c>
      <c r="F60" s="241">
        <f t="shared" si="13"/>
        <v>0</v>
      </c>
      <c r="G60" s="242">
        <f t="shared" si="10"/>
        <v>0</v>
      </c>
      <c r="H60" s="242">
        <f t="shared" si="6"/>
        <v>0</v>
      </c>
      <c r="I60" s="242">
        <f t="shared" si="7"/>
        <v>0</v>
      </c>
      <c r="J60" s="243"/>
      <c r="K60" s="243"/>
      <c r="L60" s="243"/>
      <c r="M60" s="243"/>
      <c r="N60" s="244">
        <f t="shared" si="8"/>
        <v>0</v>
      </c>
    </row>
    <row r="61" spans="1:14">
      <c r="A61" s="54">
        <f t="shared" si="11"/>
        <v>41</v>
      </c>
      <c r="B61" s="38">
        <f>Metadata!C64</f>
        <v>0.25738310421189331</v>
      </c>
      <c r="C61" s="38">
        <f>Metadata!G64</f>
        <v>0.55587239817055489</v>
      </c>
      <c r="D61" s="38">
        <f t="shared" si="9"/>
        <v>1</v>
      </c>
      <c r="E61" s="38">
        <f t="shared" si="12"/>
        <v>0</v>
      </c>
      <c r="F61" s="241">
        <f t="shared" si="13"/>
        <v>0</v>
      </c>
      <c r="G61" s="242">
        <f t="shared" si="10"/>
        <v>0</v>
      </c>
      <c r="H61" s="242">
        <f t="shared" si="6"/>
        <v>0</v>
      </c>
      <c r="I61" s="242">
        <f t="shared" si="7"/>
        <v>0</v>
      </c>
      <c r="J61" s="243"/>
      <c r="K61" s="243"/>
      <c r="L61" s="243"/>
      <c r="M61" s="243"/>
      <c r="N61" s="244">
        <f t="shared" si="8"/>
        <v>0</v>
      </c>
    </row>
    <row r="62" spans="1:14">
      <c r="A62" s="54">
        <f t="shared" si="11"/>
        <v>42</v>
      </c>
      <c r="B62" s="38">
        <f>Metadata!C65</f>
        <v>0.24988650894358574</v>
      </c>
      <c r="C62" s="38">
        <f>Metadata!G65</f>
        <v>0.54881464187602913</v>
      </c>
      <c r="D62" s="38">
        <f t="shared" si="9"/>
        <v>1</v>
      </c>
      <c r="E62" s="38">
        <f t="shared" si="12"/>
        <v>0</v>
      </c>
      <c r="F62" s="241">
        <f t="shared" si="13"/>
        <v>0</v>
      </c>
      <c r="G62" s="242">
        <f t="shared" si="10"/>
        <v>0</v>
      </c>
      <c r="H62" s="242">
        <f t="shared" si="6"/>
        <v>0</v>
      </c>
      <c r="I62" s="242">
        <f t="shared" si="7"/>
        <v>0</v>
      </c>
      <c r="J62" s="243"/>
      <c r="K62" s="243"/>
      <c r="L62" s="243"/>
      <c r="M62" s="243"/>
      <c r="N62" s="244">
        <f t="shared" si="8"/>
        <v>0</v>
      </c>
    </row>
    <row r="63" spans="1:14">
      <c r="A63" s="54">
        <f t="shared" si="11"/>
        <v>43</v>
      </c>
      <c r="B63" s="38">
        <f>Metadata!C66</f>
        <v>0.24260826111027742</v>
      </c>
      <c r="C63" s="38">
        <f>Metadata!G66</f>
        <v>0.54184649593826306</v>
      </c>
      <c r="D63" s="38">
        <f t="shared" si="9"/>
        <v>1</v>
      </c>
      <c r="E63" s="38">
        <f t="shared" si="12"/>
        <v>0</v>
      </c>
      <c r="F63" s="241">
        <f t="shared" si="13"/>
        <v>0</v>
      </c>
      <c r="G63" s="242">
        <f t="shared" si="10"/>
        <v>0</v>
      </c>
      <c r="H63" s="242">
        <f t="shared" si="6"/>
        <v>0</v>
      </c>
      <c r="I63" s="242">
        <f t="shared" si="7"/>
        <v>0</v>
      </c>
      <c r="J63" s="243"/>
      <c r="K63" s="243"/>
      <c r="L63" s="243"/>
      <c r="M63" s="243"/>
      <c r="N63" s="244">
        <f t="shared" si="8"/>
        <v>0</v>
      </c>
    </row>
    <row r="64" spans="1:14">
      <c r="A64" s="54">
        <f t="shared" si="11"/>
        <v>44</v>
      </c>
      <c r="B64" s="38">
        <f>Metadata!C67</f>
        <v>0.23554200107793924</v>
      </c>
      <c r="C64" s="38">
        <f>Metadata!G67</f>
        <v>0.5349668225996318</v>
      </c>
      <c r="D64" s="38">
        <f t="shared" si="9"/>
        <v>1</v>
      </c>
      <c r="E64" s="38">
        <f t="shared" si="12"/>
        <v>0</v>
      </c>
      <c r="F64" s="241">
        <f t="shared" si="13"/>
        <v>0</v>
      </c>
      <c r="G64" s="242">
        <f t="shared" si="10"/>
        <v>0</v>
      </c>
      <c r="H64" s="242">
        <f t="shared" si="6"/>
        <v>0</v>
      </c>
      <c r="I64" s="242">
        <f t="shared" si="7"/>
        <v>0</v>
      </c>
      <c r="J64" s="243"/>
      <c r="K64" s="243"/>
      <c r="L64" s="243"/>
      <c r="M64" s="243"/>
      <c r="N64" s="244">
        <f t="shared" si="8"/>
        <v>0</v>
      </c>
    </row>
    <row r="65" spans="1:14">
      <c r="A65" s="54">
        <f t="shared" si="11"/>
        <v>45</v>
      </c>
      <c r="B65" s="38">
        <f>Metadata!C68</f>
        <v>0.2286815544446012</v>
      </c>
      <c r="C65" s="38">
        <f>Metadata!G68</f>
        <v>0.52817449854830056</v>
      </c>
      <c r="D65" s="38">
        <f t="shared" si="9"/>
        <v>1</v>
      </c>
      <c r="E65" s="38">
        <f t="shared" si="12"/>
        <v>0</v>
      </c>
      <c r="F65" s="241">
        <f t="shared" si="13"/>
        <v>0</v>
      </c>
      <c r="G65" s="242">
        <f t="shared" si="10"/>
        <v>0</v>
      </c>
      <c r="H65" s="242">
        <f t="shared" si="6"/>
        <v>0</v>
      </c>
      <c r="I65" s="242">
        <f t="shared" si="7"/>
        <v>0</v>
      </c>
      <c r="J65" s="243"/>
      <c r="K65" s="243"/>
      <c r="L65" s="243"/>
      <c r="M65" s="243"/>
      <c r="N65" s="244">
        <f t="shared" si="8"/>
        <v>0</v>
      </c>
    </row>
    <row r="66" spans="1:14">
      <c r="A66" s="54">
        <f t="shared" si="11"/>
        <v>46</v>
      </c>
      <c r="B66" s="38">
        <f>Metadata!C69</f>
        <v>0.22202092664524387</v>
      </c>
      <c r="C66" s="38">
        <f>Metadata!G69</f>
        <v>0.52146841473481087</v>
      </c>
      <c r="D66" s="38">
        <f t="shared" si="9"/>
        <v>1</v>
      </c>
      <c r="E66" s="38">
        <f t="shared" si="12"/>
        <v>0</v>
      </c>
      <c r="F66" s="241">
        <f t="shared" si="13"/>
        <v>0</v>
      </c>
      <c r="G66" s="242">
        <f t="shared" si="10"/>
        <v>0</v>
      </c>
      <c r="H66" s="242">
        <f t="shared" si="6"/>
        <v>0</v>
      </c>
      <c r="I66" s="242">
        <f t="shared" si="7"/>
        <v>0</v>
      </c>
      <c r="J66" s="243"/>
      <c r="K66" s="243"/>
      <c r="L66" s="243"/>
      <c r="M66" s="243"/>
      <c r="N66" s="244">
        <f t="shared" si="8"/>
        <v>0</v>
      </c>
    </row>
    <row r="67" spans="1:14">
      <c r="A67" s="54">
        <f t="shared" ref="A67:A101" si="14">A66+1</f>
        <v>47</v>
      </c>
      <c r="B67" s="38">
        <f>Metadata!C70</f>
        <v>0.215554297713829</v>
      </c>
      <c r="C67" s="38">
        <f>Metadata!G70</f>
        <v>0.51484747619099458</v>
      </c>
      <c r="D67" s="38">
        <f t="shared" si="9"/>
        <v>1</v>
      </c>
      <c r="E67" s="38">
        <f t="shared" si="12"/>
        <v>0</v>
      </c>
      <c r="F67" s="241">
        <f t="shared" si="13"/>
        <v>0</v>
      </c>
      <c r="G67" s="242">
        <f t="shared" si="10"/>
        <v>0</v>
      </c>
      <c r="H67" s="242">
        <f t="shared" si="6"/>
        <v>0</v>
      </c>
      <c r="I67" s="242">
        <f t="shared" si="7"/>
        <v>0</v>
      </c>
      <c r="J67" s="243"/>
      <c r="K67" s="243"/>
      <c r="L67" s="243"/>
      <c r="M67" s="243"/>
      <c r="N67" s="244">
        <f t="shared" si="8"/>
        <v>0</v>
      </c>
    </row>
    <row r="68" spans="1:14">
      <c r="A68" s="54">
        <f t="shared" si="14"/>
        <v>48</v>
      </c>
      <c r="B68" s="38">
        <f>Metadata!C71</f>
        <v>0.20927601719789224</v>
      </c>
      <c r="C68" s="38">
        <f>Metadata!G71</f>
        <v>0.50831060185118826</v>
      </c>
      <c r="D68" s="38">
        <f t="shared" si="9"/>
        <v>1</v>
      </c>
      <c r="E68" s="38">
        <f t="shared" si="12"/>
        <v>0</v>
      </c>
      <c r="F68" s="241">
        <f t="shared" si="13"/>
        <v>0</v>
      </c>
      <c r="G68" s="242">
        <f t="shared" si="10"/>
        <v>0</v>
      </c>
      <c r="H68" s="242">
        <f t="shared" si="6"/>
        <v>0</v>
      </c>
      <c r="I68" s="242">
        <f t="shared" si="7"/>
        <v>0</v>
      </c>
      <c r="J68" s="243"/>
      <c r="K68" s="243"/>
      <c r="L68" s="243"/>
      <c r="M68" s="243"/>
      <c r="N68" s="244">
        <f t="shared" si="8"/>
        <v>0</v>
      </c>
    </row>
    <row r="69" spans="1:14">
      <c r="A69" s="54">
        <f t="shared" si="14"/>
        <v>49</v>
      </c>
      <c r="B69" s="38">
        <f>Metadata!C72</f>
        <v>0.20318059922125459</v>
      </c>
      <c r="C69" s="38">
        <f>Metadata!G72</f>
        <v>0.50185672437571649</v>
      </c>
      <c r="D69" s="38">
        <f t="shared" si="9"/>
        <v>1</v>
      </c>
      <c r="E69" s="38">
        <f t="shared" si="12"/>
        <v>0</v>
      </c>
      <c r="F69" s="241">
        <f t="shared" si="13"/>
        <v>0</v>
      </c>
      <c r="G69" s="242">
        <f t="shared" si="10"/>
        <v>0</v>
      </c>
      <c r="H69" s="242">
        <f t="shared" si="6"/>
        <v>0</v>
      </c>
      <c r="I69" s="242">
        <f t="shared" si="7"/>
        <v>0</v>
      </c>
      <c r="J69" s="243"/>
      <c r="K69" s="243"/>
      <c r="L69" s="243"/>
      <c r="M69" s="243"/>
      <c r="N69" s="244">
        <f t="shared" si="8"/>
        <v>0</v>
      </c>
    </row>
    <row r="70" spans="1:14">
      <c r="A70" s="54">
        <f t="shared" si="14"/>
        <v>50</v>
      </c>
      <c r="B70" s="38">
        <f>Metadata!C73</f>
        <v>0.19726271769053844</v>
      </c>
      <c r="C70" s="38">
        <f>Metadata!G73</f>
        <v>0.49548478997661716</v>
      </c>
      <c r="D70" s="38">
        <f t="shared" si="9"/>
        <v>1</v>
      </c>
      <c r="E70" s="38">
        <f t="shared" si="12"/>
        <v>0</v>
      </c>
      <c r="F70" s="241">
        <f t="shared" si="13"/>
        <v>0</v>
      </c>
      <c r="G70" s="242">
        <f t="shared" si="10"/>
        <v>0</v>
      </c>
      <c r="H70" s="242">
        <f t="shared" si="6"/>
        <v>0</v>
      </c>
      <c r="I70" s="242">
        <f t="shared" si="7"/>
        <v>0</v>
      </c>
      <c r="J70" s="243"/>
      <c r="K70" s="243"/>
      <c r="L70" s="243"/>
      <c r="M70" s="243"/>
      <c r="N70" s="244">
        <f t="shared" si="8"/>
        <v>0</v>
      </c>
    </row>
    <row r="71" spans="1:14">
      <c r="A71" s="54">
        <f t="shared" si="14"/>
        <v>51</v>
      </c>
      <c r="B71" s="38">
        <f>Metadata!C74</f>
        <v>0.19151720164129946</v>
      </c>
      <c r="C71" s="38">
        <f>Metadata!G74</f>
        <v>0.48919375824557898</v>
      </c>
      <c r="D71" s="38">
        <f t="shared" si="9"/>
        <v>1</v>
      </c>
      <c r="E71" s="38">
        <f t="shared" si="12"/>
        <v>0</v>
      </c>
      <c r="F71" s="241">
        <f t="shared" si="13"/>
        <v>0</v>
      </c>
      <c r="G71" s="242">
        <f t="shared" si="10"/>
        <v>0</v>
      </c>
      <c r="H71" s="242">
        <f t="shared" si="6"/>
        <v>0</v>
      </c>
      <c r="I71" s="242">
        <f t="shared" si="7"/>
        <v>0</v>
      </c>
      <c r="J71" s="243"/>
      <c r="K71" s="243"/>
      <c r="L71" s="243"/>
      <c r="M71" s="243"/>
      <c r="N71" s="244">
        <f t="shared" si="8"/>
        <v>0</v>
      </c>
    </row>
    <row r="72" spans="1:14">
      <c r="A72" s="54">
        <f t="shared" si="14"/>
        <v>52</v>
      </c>
      <c r="B72" s="38">
        <f>Metadata!C75</f>
        <v>0.18593903071970821</v>
      </c>
      <c r="C72" s="38">
        <f>Metadata!G75</f>
        <v>0.4829826019840639</v>
      </c>
      <c r="D72" s="38">
        <f t="shared" si="9"/>
        <v>1</v>
      </c>
      <c r="E72" s="38">
        <f t="shared" si="12"/>
        <v>0</v>
      </c>
      <c r="F72" s="241">
        <f t="shared" si="13"/>
        <v>0</v>
      </c>
      <c r="G72" s="242">
        <f t="shared" si="10"/>
        <v>0</v>
      </c>
      <c r="H72" s="242">
        <f t="shared" si="6"/>
        <v>0</v>
      </c>
      <c r="I72" s="242">
        <f t="shared" si="7"/>
        <v>0</v>
      </c>
      <c r="J72" s="243"/>
      <c r="K72" s="243"/>
      <c r="L72" s="243"/>
      <c r="M72" s="243"/>
      <c r="N72" s="244">
        <f t="shared" si="8"/>
        <v>0</v>
      </c>
    </row>
    <row r="73" spans="1:14">
      <c r="A73" s="54">
        <f t="shared" si="14"/>
        <v>53</v>
      </c>
      <c r="B73" s="38">
        <f>Metadata!C76</f>
        <v>0.18052333079583321</v>
      </c>
      <c r="C73" s="38">
        <f>Metadata!G76</f>
        <v>0.47685030703558623</v>
      </c>
      <c r="D73" s="38">
        <f t="shared" si="9"/>
        <v>1</v>
      </c>
      <c r="E73" s="38">
        <f t="shared" si="12"/>
        <v>0</v>
      </c>
      <c r="F73" s="241">
        <f t="shared" si="13"/>
        <v>0</v>
      </c>
      <c r="G73" s="242">
        <f t="shared" si="10"/>
        <v>0</v>
      </c>
      <c r="H73" s="242">
        <f t="shared" si="6"/>
        <v>0</v>
      </c>
      <c r="I73" s="242">
        <f t="shared" si="7"/>
        <v>0</v>
      </c>
      <c r="J73" s="243"/>
      <c r="K73" s="243"/>
      <c r="L73" s="243"/>
      <c r="M73" s="243"/>
      <c r="N73" s="244">
        <f t="shared" si="8"/>
        <v>0</v>
      </c>
    </row>
    <row r="74" spans="1:14">
      <c r="A74" s="54">
        <f t="shared" si="14"/>
        <v>54</v>
      </c>
      <c r="B74" s="38">
        <f>Metadata!C77</f>
        <v>0.17526536970469245</v>
      </c>
      <c r="C74" s="38">
        <f>Metadata!G77</f>
        <v>0.47079587212012142</v>
      </c>
      <c r="D74" s="38">
        <f t="shared" si="9"/>
        <v>1</v>
      </c>
      <c r="E74" s="38">
        <f t="shared" si="12"/>
        <v>0</v>
      </c>
      <c r="F74" s="241">
        <f t="shared" si="13"/>
        <v>0</v>
      </c>
      <c r="G74" s="242">
        <f t="shared" si="10"/>
        <v>0</v>
      </c>
      <c r="H74" s="242">
        <f t="shared" si="6"/>
        <v>0</v>
      </c>
      <c r="I74" s="242">
        <f t="shared" si="7"/>
        <v>0</v>
      </c>
      <c r="J74" s="243"/>
      <c r="K74" s="243"/>
      <c r="L74" s="243"/>
      <c r="M74" s="243"/>
      <c r="N74" s="244">
        <f t="shared" si="8"/>
        <v>0</v>
      </c>
    </row>
    <row r="75" spans="1:14">
      <c r="A75" s="54">
        <f t="shared" si="14"/>
        <v>55</v>
      </c>
      <c r="B75" s="38">
        <f>Metadata!C78</f>
        <v>0.17016055311135189</v>
      </c>
      <c r="C75" s="38">
        <f>Metadata!G78</f>
        <v>0.46481830867061724</v>
      </c>
      <c r="D75" s="38">
        <f t="shared" si="9"/>
        <v>1</v>
      </c>
      <c r="E75" s="38">
        <f t="shared" si="12"/>
        <v>0</v>
      </c>
      <c r="F75" s="241">
        <f t="shared" si="13"/>
        <v>0</v>
      </c>
      <c r="G75" s="242">
        <f t="shared" si="10"/>
        <v>0</v>
      </c>
      <c r="H75" s="242">
        <f t="shared" si="6"/>
        <v>0</v>
      </c>
      <c r="I75" s="242">
        <f t="shared" si="7"/>
        <v>0</v>
      </c>
      <c r="J75" s="243"/>
      <c r="K75" s="243"/>
      <c r="L75" s="243"/>
      <c r="M75" s="243"/>
      <c r="N75" s="244">
        <f t="shared" si="8"/>
        <v>0</v>
      </c>
    </row>
    <row r="76" spans="1:14">
      <c r="A76" s="54">
        <f t="shared" si="14"/>
        <v>56</v>
      </c>
      <c r="B76" s="38">
        <f>Metadata!C79</f>
        <v>0.16520442049645814</v>
      </c>
      <c r="C76" s="38">
        <f>Metadata!G79</f>
        <v>0.45891664067158067</v>
      </c>
      <c r="D76" s="38">
        <f t="shared" si="9"/>
        <v>1</v>
      </c>
      <c r="E76" s="38">
        <f t="shared" si="12"/>
        <v>0</v>
      </c>
      <c r="F76" s="241">
        <f t="shared" si="13"/>
        <v>0</v>
      </c>
      <c r="G76" s="242">
        <f t="shared" si="10"/>
        <v>0</v>
      </c>
      <c r="H76" s="242">
        <f t="shared" si="6"/>
        <v>0</v>
      </c>
      <c r="I76" s="242">
        <f t="shared" si="7"/>
        <v>0</v>
      </c>
      <c r="J76" s="243"/>
      <c r="K76" s="243"/>
      <c r="L76" s="243"/>
      <c r="M76" s="243"/>
      <c r="N76" s="244">
        <f t="shared" si="8"/>
        <v>0</v>
      </c>
    </row>
    <row r="77" spans="1:14">
      <c r="A77" s="54">
        <f t="shared" si="14"/>
        <v>57</v>
      </c>
      <c r="B77" s="38">
        <f>Metadata!C80</f>
        <v>0.16039264125869723</v>
      </c>
      <c r="C77" s="38">
        <f>Metadata!G80</f>
        <v>0.45308990449971431</v>
      </c>
      <c r="D77" s="38">
        <f t="shared" si="9"/>
        <v>1</v>
      </c>
      <c r="E77" s="38">
        <f t="shared" si="12"/>
        <v>0</v>
      </c>
      <c r="F77" s="241">
        <f t="shared" si="13"/>
        <v>0</v>
      </c>
      <c r="G77" s="242">
        <f t="shared" si="10"/>
        <v>0</v>
      </c>
      <c r="H77" s="242">
        <f t="shared" si="6"/>
        <v>0</v>
      </c>
      <c r="I77" s="242">
        <f t="shared" si="7"/>
        <v>0</v>
      </c>
      <c r="J77" s="243"/>
      <c r="K77" s="243"/>
      <c r="L77" s="243"/>
      <c r="M77" s="243"/>
      <c r="N77" s="244">
        <f t="shared" si="8"/>
        <v>0</v>
      </c>
    </row>
    <row r="78" spans="1:14">
      <c r="A78" s="54">
        <f t="shared" si="14"/>
        <v>58</v>
      </c>
      <c r="B78" s="38">
        <f>Metadata!C81</f>
        <v>0.15572101093077401</v>
      </c>
      <c r="C78" s="38">
        <f>Metadata!G81</f>
        <v>0.4473371487665761</v>
      </c>
      <c r="D78" s="38">
        <f t="shared" si="9"/>
        <v>1</v>
      </c>
      <c r="E78" s="38">
        <f t="shared" si="12"/>
        <v>0</v>
      </c>
      <c r="F78" s="241">
        <f t="shared" si="13"/>
        <v>0</v>
      </c>
      <c r="G78" s="242">
        <f t="shared" si="10"/>
        <v>0</v>
      </c>
      <c r="H78" s="242">
        <f t="shared" si="6"/>
        <v>0</v>
      </c>
      <c r="I78" s="242">
        <f t="shared" si="7"/>
        <v>0</v>
      </c>
      <c r="J78" s="243"/>
      <c r="K78" s="243"/>
      <c r="L78" s="243"/>
      <c r="M78" s="243"/>
      <c r="N78" s="244">
        <f t="shared" si="8"/>
        <v>0</v>
      </c>
    </row>
    <row r="79" spans="1:14">
      <c r="A79" s="54">
        <f t="shared" si="14"/>
        <v>59</v>
      </c>
      <c r="B79" s="38">
        <f>Metadata!C82</f>
        <v>0.15118544750560584</v>
      </c>
      <c r="C79" s="38">
        <f>Metadata!G82</f>
        <v>0.44165743416323683</v>
      </c>
      <c r="D79" s="38">
        <f t="shared" si="9"/>
        <v>1</v>
      </c>
      <c r="E79" s="38">
        <f t="shared" si="12"/>
        <v>0</v>
      </c>
      <c r="F79" s="241">
        <f t="shared" si="13"/>
        <v>0</v>
      </c>
      <c r="G79" s="242">
        <f t="shared" si="10"/>
        <v>0</v>
      </c>
      <c r="H79" s="242">
        <f t="shared" si="6"/>
        <v>0</v>
      </c>
      <c r="I79" s="242">
        <f t="shared" si="7"/>
        <v>0</v>
      </c>
      <c r="J79" s="243"/>
      <c r="K79" s="243"/>
      <c r="L79" s="243"/>
      <c r="M79" s="243"/>
      <c r="N79" s="244">
        <f t="shared" si="8"/>
        <v>0</v>
      </c>
    </row>
    <row r="80" spans="1:14">
      <c r="A80" s="54">
        <f t="shared" si="14"/>
        <v>60</v>
      </c>
      <c r="B80" s="38">
        <f>Metadata!C83</f>
        <v>0.14678198786952024</v>
      </c>
      <c r="C80" s="38">
        <f>Metadata!G83</f>
        <v>0.43604983330690994</v>
      </c>
      <c r="D80" s="38">
        <f t="shared" si="9"/>
        <v>1</v>
      </c>
      <c r="E80" s="38">
        <f t="shared" si="12"/>
        <v>0</v>
      </c>
      <c r="F80" s="241">
        <f t="shared" si="13"/>
        <v>0</v>
      </c>
      <c r="G80" s="242">
        <f t="shared" si="10"/>
        <v>0</v>
      </c>
      <c r="H80" s="242">
        <f t="shared" si="6"/>
        <v>0</v>
      </c>
      <c r="I80" s="242">
        <f t="shared" si="7"/>
        <v>0</v>
      </c>
      <c r="J80" s="243"/>
      <c r="K80" s="243"/>
      <c r="L80" s="243"/>
      <c r="M80" s="243"/>
      <c r="N80" s="244">
        <f t="shared" si="8"/>
        <v>0</v>
      </c>
    </row>
    <row r="81" spans="1:14">
      <c r="A81" s="54">
        <f t="shared" si="14"/>
        <v>61</v>
      </c>
      <c r="B81" s="38">
        <f>Metadata!C84</f>
        <v>0.14250678433934003</v>
      </c>
      <c r="C81" s="38">
        <f>Metadata!G84</f>
        <v>0.43051343058952857</v>
      </c>
      <c r="D81" s="38">
        <f t="shared" si="9"/>
        <v>1</v>
      </c>
      <c r="E81" s="38">
        <f t="shared" si="12"/>
        <v>0</v>
      </c>
      <c r="F81" s="241">
        <f t="shared" si="13"/>
        <v>0</v>
      </c>
      <c r="G81" s="242">
        <f t="shared" si="10"/>
        <v>0</v>
      </c>
      <c r="H81" s="242">
        <f t="shared" si="6"/>
        <v>0</v>
      </c>
      <c r="I81" s="242">
        <f t="shared" si="7"/>
        <v>0</v>
      </c>
      <c r="J81" s="243"/>
      <c r="K81" s="243"/>
      <c r="L81" s="243"/>
      <c r="M81" s="243"/>
      <c r="N81" s="244">
        <f t="shared" si="8"/>
        <v>0</v>
      </c>
    </row>
    <row r="82" spans="1:14">
      <c r="A82" s="54">
        <f t="shared" si="14"/>
        <v>62</v>
      </c>
      <c r="B82" s="38">
        <f>Metadata!C85</f>
        <v>0.13835610130033013</v>
      </c>
      <c r="C82" s="38">
        <f>Metadata!G85</f>
        <v>0.4250473220282453</v>
      </c>
      <c r="D82" s="38">
        <f t="shared" si="9"/>
        <v>1</v>
      </c>
      <c r="E82" s="38">
        <f t="shared" si="12"/>
        <v>0</v>
      </c>
      <c r="F82" s="241">
        <f t="shared" si="13"/>
        <v>0</v>
      </c>
      <c r="G82" s="242">
        <f t="shared" si="10"/>
        <v>0</v>
      </c>
      <c r="H82" s="242">
        <f t="shared" si="6"/>
        <v>0</v>
      </c>
      <c r="I82" s="242">
        <f t="shared" si="7"/>
        <v>0</v>
      </c>
      <c r="J82" s="243"/>
      <c r="K82" s="243"/>
      <c r="L82" s="243"/>
      <c r="M82" s="243"/>
      <c r="N82" s="244">
        <f t="shared" si="8"/>
        <v>0</v>
      </c>
    </row>
    <row r="83" spans="1:14">
      <c r="A83" s="54">
        <f t="shared" si="14"/>
        <v>63</v>
      </c>
      <c r="B83" s="38">
        <f>Metadata!C86</f>
        <v>0.13432631194206809</v>
      </c>
      <c r="C83" s="38">
        <f>Metadata!G86</f>
        <v>0.41965061511782997</v>
      </c>
      <c r="D83" s="38">
        <f t="shared" si="9"/>
        <v>1</v>
      </c>
      <c r="E83" s="38">
        <f t="shared" si="12"/>
        <v>0</v>
      </c>
      <c r="F83" s="241">
        <f t="shared" si="13"/>
        <v>0</v>
      </c>
      <c r="G83" s="242">
        <f t="shared" si="10"/>
        <v>0</v>
      </c>
      <c r="H83" s="242">
        <f t="shared" si="6"/>
        <v>0</v>
      </c>
      <c r="I83" s="242">
        <f t="shared" si="7"/>
        <v>0</v>
      </c>
      <c r="J83" s="243"/>
      <c r="K83" s="243"/>
      <c r="L83" s="243"/>
      <c r="M83" s="243"/>
      <c r="N83" s="244">
        <f t="shared" si="8"/>
        <v>0</v>
      </c>
    </row>
    <row r="84" spans="1:14">
      <c r="A84" s="54">
        <f t="shared" si="14"/>
        <v>64</v>
      </c>
      <c r="B84" s="38">
        <f>Metadata!C87</f>
        <v>0.1304138950893865</v>
      </c>
      <c r="C84" s="38">
        <f>Metadata!G87</f>
        <v>0.41432242868494157</v>
      </c>
      <c r="D84" s="38">
        <f t="shared" ref="D84:D119" si="15">IF(A84&lt;$B$13,$B$14,(IF(A84&lt;$C$13,($B$14+($C$14-$B$14)*(A84-$B$13)/($C$13-$B$13)),(IF(A84&lt;$D$13,($C$14+($D$14-$C$14)*(A84-$C$13)/($D$13-$C$13)),(IF(A84&lt;$E$13,($D$14+($E$14-$D$14)*(A84-$D$13)/($E$13-$D$13)),$E$14)))))))</f>
        <v>1</v>
      </c>
      <c r="E84" s="38">
        <f t="shared" si="12"/>
        <v>0</v>
      </c>
      <c r="F84" s="241">
        <f t="shared" si="13"/>
        <v>0</v>
      </c>
      <c r="G84" s="242">
        <f t="shared" ref="G84:G119" si="16">E84*$I$10</f>
        <v>0</v>
      </c>
      <c r="H84" s="242">
        <f t="shared" si="6"/>
        <v>0</v>
      </c>
      <c r="I84" s="242">
        <f t="shared" si="7"/>
        <v>0</v>
      </c>
      <c r="J84" s="243"/>
      <c r="K84" s="243"/>
      <c r="L84" s="243"/>
      <c r="M84" s="243"/>
      <c r="N84" s="244">
        <f t="shared" si="8"/>
        <v>0</v>
      </c>
    </row>
    <row r="85" spans="1:14">
      <c r="A85" s="54">
        <f t="shared" si="14"/>
        <v>65</v>
      </c>
      <c r="B85" s="38">
        <f>Metadata!C88</f>
        <v>0.12661543212561796</v>
      </c>
      <c r="C85" s="38">
        <f>Metadata!G88</f>
        <v>0.40906189274425048</v>
      </c>
      <c r="D85" s="38">
        <f t="shared" si="15"/>
        <v>1</v>
      </c>
      <c r="E85" s="38">
        <f t="shared" ref="E85:E116" si="17">D85*F84</f>
        <v>0</v>
      </c>
      <c r="F85" s="241">
        <f t="shared" ref="F85:F116" si="18">F84-E85</f>
        <v>0</v>
      </c>
      <c r="G85" s="242">
        <f t="shared" si="16"/>
        <v>0</v>
      </c>
      <c r="H85" s="242">
        <f t="shared" ref="H85:H119" si="19">F85*$I$12</f>
        <v>0</v>
      </c>
      <c r="I85" s="242">
        <f t="shared" ref="I85:I119" si="20">$J$12*(1-F85)</f>
        <v>0</v>
      </c>
      <c r="J85" s="243"/>
      <c r="K85" s="243"/>
      <c r="L85" s="243"/>
      <c r="M85" s="243"/>
      <c r="N85" s="244">
        <f t="shared" ref="N85:N119" si="21">(SUM(G85:K85)*B85)+(L85*C85)</f>
        <v>0</v>
      </c>
    </row>
    <row r="86" spans="1:14">
      <c r="A86" s="54">
        <f t="shared" si="14"/>
        <v>66</v>
      </c>
      <c r="B86" s="38">
        <f>Metadata!C89</f>
        <v>0.12292760400545433</v>
      </c>
      <c r="C86" s="38">
        <f>Metadata!G89</f>
        <v>0.40386814835638729</v>
      </c>
      <c r="D86" s="38">
        <f t="shared" si="15"/>
        <v>1</v>
      </c>
      <c r="E86" s="38">
        <f t="shared" si="17"/>
        <v>0</v>
      </c>
      <c r="F86" s="241">
        <f t="shared" si="18"/>
        <v>0</v>
      </c>
      <c r="G86" s="242">
        <f t="shared" si="16"/>
        <v>0</v>
      </c>
      <c r="H86" s="242">
        <f t="shared" si="19"/>
        <v>0</v>
      </c>
      <c r="I86" s="242">
        <f t="shared" si="20"/>
        <v>0</v>
      </c>
      <c r="J86" s="243"/>
      <c r="K86" s="243"/>
      <c r="L86" s="243"/>
      <c r="M86" s="243"/>
      <c r="N86" s="244">
        <f t="shared" si="21"/>
        <v>0</v>
      </c>
    </row>
    <row r="87" spans="1:14">
      <c r="A87" s="54">
        <f t="shared" si="14"/>
        <v>67</v>
      </c>
      <c r="B87" s="38">
        <f>Metadata!C90</f>
        <v>0.11934718835481002</v>
      </c>
      <c r="C87" s="38">
        <f>Metadata!G90</f>
        <v>0.39874034748769549</v>
      </c>
      <c r="D87" s="38">
        <f t="shared" si="15"/>
        <v>1</v>
      </c>
      <c r="E87" s="38">
        <f t="shared" si="17"/>
        <v>0</v>
      </c>
      <c r="F87" s="241">
        <f t="shared" si="18"/>
        <v>0</v>
      </c>
      <c r="G87" s="242">
        <f t="shared" si="16"/>
        <v>0</v>
      </c>
      <c r="H87" s="242">
        <f t="shared" si="19"/>
        <v>0</v>
      </c>
      <c r="I87" s="242">
        <f t="shared" si="20"/>
        <v>0</v>
      </c>
      <c r="J87" s="243"/>
      <c r="K87" s="243"/>
      <c r="L87" s="243"/>
      <c r="M87" s="243"/>
      <c r="N87" s="244">
        <f t="shared" si="21"/>
        <v>0</v>
      </c>
    </row>
    <row r="88" spans="1:14">
      <c r="A88" s="54">
        <f t="shared" si="14"/>
        <v>68</v>
      </c>
      <c r="B88" s="38">
        <f>Metadata!C91</f>
        <v>0.11587105665515536</v>
      </c>
      <c r="C88" s="38">
        <f>Metadata!G91</f>
        <v>0.39367765287176454</v>
      </c>
      <c r="D88" s="38">
        <f t="shared" si="15"/>
        <v>1</v>
      </c>
      <c r="E88" s="38">
        <f t="shared" si="17"/>
        <v>0</v>
      </c>
      <c r="F88" s="241">
        <f t="shared" si="18"/>
        <v>0</v>
      </c>
      <c r="G88" s="242">
        <f t="shared" si="16"/>
        <v>0</v>
      </c>
      <c r="H88" s="242">
        <f t="shared" si="19"/>
        <v>0</v>
      </c>
      <c r="I88" s="242">
        <f t="shared" si="20"/>
        <v>0</v>
      </c>
      <c r="J88" s="243"/>
      <c r="K88" s="243"/>
      <c r="L88" s="243"/>
      <c r="M88" s="243"/>
      <c r="N88" s="244">
        <f t="shared" si="21"/>
        <v>0</v>
      </c>
    </row>
    <row r="89" spans="1:14">
      <c r="A89" s="54">
        <f t="shared" si="14"/>
        <v>69</v>
      </c>
      <c r="B89" s="38">
        <f>Metadata!C92</f>
        <v>0.11249617150985958</v>
      </c>
      <c r="C89" s="38">
        <f>Metadata!G92</f>
        <v>0.38867923787272129</v>
      </c>
      <c r="D89" s="38">
        <f t="shared" si="15"/>
        <v>1</v>
      </c>
      <c r="E89" s="38">
        <f t="shared" si="17"/>
        <v>0</v>
      </c>
      <c r="F89" s="241">
        <f t="shared" si="18"/>
        <v>0</v>
      </c>
      <c r="G89" s="242">
        <f t="shared" si="16"/>
        <v>0</v>
      </c>
      <c r="H89" s="242">
        <f t="shared" si="19"/>
        <v>0</v>
      </c>
      <c r="I89" s="242">
        <f t="shared" si="20"/>
        <v>0</v>
      </c>
      <c r="J89" s="243"/>
      <c r="K89" s="243"/>
      <c r="L89" s="243"/>
      <c r="M89" s="243"/>
      <c r="N89" s="244">
        <f t="shared" si="21"/>
        <v>0</v>
      </c>
    </row>
    <row r="90" spans="1:14">
      <c r="A90" s="54">
        <f t="shared" si="14"/>
        <v>70</v>
      </c>
      <c r="B90" s="38">
        <f>Metadata!C93</f>
        <v>0.10921958399015493</v>
      </c>
      <c r="C90" s="38">
        <f>Metadata!G93</f>
        <v>0.38374428635025698</v>
      </c>
      <c r="D90" s="38">
        <f t="shared" si="15"/>
        <v>1</v>
      </c>
      <c r="E90" s="38">
        <f t="shared" si="17"/>
        <v>0</v>
      </c>
      <c r="F90" s="241">
        <f t="shared" si="18"/>
        <v>0</v>
      </c>
      <c r="G90" s="242">
        <f t="shared" si="16"/>
        <v>0</v>
      </c>
      <c r="H90" s="242">
        <f t="shared" si="19"/>
        <v>0</v>
      </c>
      <c r="I90" s="242">
        <f t="shared" si="20"/>
        <v>0</v>
      </c>
      <c r="J90" s="243"/>
      <c r="K90" s="243"/>
      <c r="L90" s="243"/>
      <c r="M90" s="243"/>
      <c r="N90" s="244">
        <f t="shared" si="21"/>
        <v>0</v>
      </c>
    </row>
    <row r="91" spans="1:14">
      <c r="A91" s="54">
        <f t="shared" si="14"/>
        <v>71</v>
      </c>
      <c r="B91" s="38">
        <f>Metadata!C94</f>
        <v>0.10603843105840284</v>
      </c>
      <c r="C91" s="38">
        <f>Metadata!G94</f>
        <v>0.37887199252636783</v>
      </c>
      <c r="D91" s="38">
        <f t="shared" si="15"/>
        <v>1</v>
      </c>
      <c r="E91" s="38">
        <f t="shared" si="17"/>
        <v>0</v>
      </c>
      <c r="F91" s="241">
        <f t="shared" si="18"/>
        <v>0</v>
      </c>
      <c r="G91" s="242">
        <f t="shared" si="16"/>
        <v>0</v>
      </c>
      <c r="H91" s="242">
        <f t="shared" si="19"/>
        <v>0</v>
      </c>
      <c r="I91" s="242">
        <f t="shared" si="20"/>
        <v>0</v>
      </c>
      <c r="J91" s="243"/>
      <c r="K91" s="243"/>
      <c r="L91" s="243"/>
      <c r="M91" s="243"/>
      <c r="N91" s="244">
        <f t="shared" si="21"/>
        <v>0</v>
      </c>
    </row>
    <row r="92" spans="1:14">
      <c r="A92" s="54">
        <f t="shared" si="14"/>
        <v>72</v>
      </c>
      <c r="B92" s="38">
        <f>Metadata!C95</f>
        <v>0.10294993306641052</v>
      </c>
      <c r="C92" s="38">
        <f>Metadata!G95</f>
        <v>0.37406156085378806</v>
      </c>
      <c r="D92" s="38">
        <f t="shared" si="15"/>
        <v>1</v>
      </c>
      <c r="E92" s="38">
        <f t="shared" si="17"/>
        <v>0</v>
      </c>
      <c r="F92" s="241">
        <f t="shared" si="18"/>
        <v>0</v>
      </c>
      <c r="G92" s="242">
        <f t="shared" si="16"/>
        <v>0</v>
      </c>
      <c r="H92" s="242">
        <f t="shared" si="19"/>
        <v>0</v>
      </c>
      <c r="I92" s="242">
        <f t="shared" si="20"/>
        <v>0</v>
      </c>
      <c r="J92" s="243"/>
      <c r="K92" s="243"/>
      <c r="L92" s="243"/>
      <c r="M92" s="243"/>
      <c r="N92" s="244">
        <f t="shared" si="21"/>
        <v>0</v>
      </c>
    </row>
    <row r="93" spans="1:14">
      <c r="A93" s="54">
        <f t="shared" si="14"/>
        <v>73</v>
      </c>
      <c r="B93" s="38">
        <f>Metadata!C96</f>
        <v>9.9951391326612155E-2</v>
      </c>
      <c r="C93" s="38">
        <f>Metadata!G96</f>
        <v>0.36931220588609287</v>
      </c>
      <c r="D93" s="38">
        <f t="shared" si="15"/>
        <v>1</v>
      </c>
      <c r="E93" s="38">
        <f t="shared" si="17"/>
        <v>0</v>
      </c>
      <c r="F93" s="241">
        <f t="shared" si="18"/>
        <v>0</v>
      </c>
      <c r="G93" s="242">
        <f t="shared" si="16"/>
        <v>0</v>
      </c>
      <c r="H93" s="242">
        <f t="shared" si="19"/>
        <v>0</v>
      </c>
      <c r="I93" s="242">
        <f t="shared" si="20"/>
        <v>0</v>
      </c>
      <c r="J93" s="243"/>
      <c r="K93" s="243"/>
      <c r="L93" s="243"/>
      <c r="M93" s="243"/>
      <c r="N93" s="244">
        <f t="shared" si="21"/>
        <v>0</v>
      </c>
    </row>
    <row r="94" spans="1:14">
      <c r="A94" s="54">
        <f t="shared" si="14"/>
        <v>74</v>
      </c>
      <c r="B94" s="38">
        <f>Metadata!C97</f>
        <v>9.7040185753992383E-2</v>
      </c>
      <c r="C94" s="38">
        <f>Metadata!G97</f>
        <v>0.3646231521494509</v>
      </c>
      <c r="D94" s="38">
        <f t="shared" si="15"/>
        <v>1</v>
      </c>
      <c r="E94" s="38">
        <f t="shared" si="17"/>
        <v>0</v>
      </c>
      <c r="F94" s="241">
        <f t="shared" si="18"/>
        <v>0</v>
      </c>
      <c r="G94" s="242">
        <f t="shared" si="16"/>
        <v>0</v>
      </c>
      <c r="H94" s="242">
        <f t="shared" si="19"/>
        <v>0</v>
      </c>
      <c r="I94" s="242">
        <f t="shared" si="20"/>
        <v>0</v>
      </c>
      <c r="J94" s="243"/>
      <c r="K94" s="243"/>
      <c r="L94" s="243"/>
      <c r="M94" s="243"/>
      <c r="N94" s="244">
        <f t="shared" si="21"/>
        <v>0</v>
      </c>
    </row>
    <row r="95" spans="1:14">
      <c r="A95" s="54">
        <f t="shared" si="14"/>
        <v>75</v>
      </c>
      <c r="B95" s="38">
        <f>Metadata!C98</f>
        <v>9.4213772576691626E-2</v>
      </c>
      <c r="C95" s="38">
        <f>Metadata!G98</f>
        <v>0.35999363401600504</v>
      </c>
      <c r="D95" s="38">
        <f t="shared" si="15"/>
        <v>1</v>
      </c>
      <c r="E95" s="38">
        <f t="shared" si="17"/>
        <v>0</v>
      </c>
      <c r="F95" s="241">
        <f t="shared" si="18"/>
        <v>0</v>
      </c>
      <c r="G95" s="242">
        <f t="shared" si="16"/>
        <v>0</v>
      </c>
      <c r="H95" s="242">
        <f t="shared" si="19"/>
        <v>0</v>
      </c>
      <c r="I95" s="242">
        <f t="shared" si="20"/>
        <v>0</v>
      </c>
      <c r="J95" s="243"/>
      <c r="K95" s="243"/>
      <c r="L95" s="243"/>
      <c r="M95" s="243"/>
      <c r="N95" s="244">
        <f t="shared" si="21"/>
        <v>0</v>
      </c>
    </row>
    <row r="96" spans="1:14">
      <c r="A96" s="54">
        <f t="shared" si="14"/>
        <v>76</v>
      </c>
      <c r="B96" s="38">
        <f>Metadata!C99</f>
        <v>9.1915875684577208E-2</v>
      </c>
      <c r="C96" s="38">
        <f>Metadata!G99</f>
        <v>0.3561789573824391</v>
      </c>
      <c r="D96" s="38">
        <f t="shared" si="15"/>
        <v>1</v>
      </c>
      <c r="E96" s="38">
        <f t="shared" si="17"/>
        <v>0</v>
      </c>
      <c r="F96" s="241">
        <f t="shared" si="18"/>
        <v>0</v>
      </c>
      <c r="G96" s="242">
        <f t="shared" si="16"/>
        <v>0</v>
      </c>
      <c r="H96" s="242">
        <f t="shared" si="19"/>
        <v>0</v>
      </c>
      <c r="I96" s="242">
        <f t="shared" si="20"/>
        <v>0</v>
      </c>
      <c r="J96" s="243"/>
      <c r="K96" s="243"/>
      <c r="L96" s="243"/>
      <c r="M96" s="243"/>
      <c r="N96" s="244">
        <f t="shared" si="21"/>
        <v>0</v>
      </c>
    </row>
    <row r="97" spans="1:14">
      <c r="A97" s="54">
        <f t="shared" si="14"/>
        <v>77</v>
      </c>
      <c r="B97" s="38">
        <f>Metadata!C100</f>
        <v>8.9674025058124107E-2</v>
      </c>
      <c r="C97" s="38">
        <f>Metadata!G100</f>
        <v>0.35240470301316806</v>
      </c>
      <c r="D97" s="38">
        <f t="shared" si="15"/>
        <v>1</v>
      </c>
      <c r="E97" s="38">
        <f t="shared" si="17"/>
        <v>0</v>
      </c>
      <c r="F97" s="241">
        <f t="shared" si="18"/>
        <v>0</v>
      </c>
      <c r="G97" s="242">
        <f t="shared" si="16"/>
        <v>0</v>
      </c>
      <c r="H97" s="242">
        <f t="shared" si="19"/>
        <v>0</v>
      </c>
      <c r="I97" s="242">
        <f t="shared" si="20"/>
        <v>0</v>
      </c>
      <c r="J97" s="243"/>
      <c r="K97" s="243"/>
      <c r="L97" s="243"/>
      <c r="M97" s="243"/>
      <c r="N97" s="244">
        <f t="shared" si="21"/>
        <v>0</v>
      </c>
    </row>
    <row r="98" spans="1:14">
      <c r="A98" s="54">
        <f t="shared" si="14"/>
        <v>78</v>
      </c>
      <c r="B98" s="38">
        <f>Metadata!C101</f>
        <v>8.7486853715243035E-2</v>
      </c>
      <c r="C98" s="38">
        <f>Metadata!G101</f>
        <v>0.34867044257320901</v>
      </c>
      <c r="D98" s="38">
        <f t="shared" si="15"/>
        <v>1</v>
      </c>
      <c r="E98" s="38">
        <f t="shared" si="17"/>
        <v>0</v>
      </c>
      <c r="F98" s="241">
        <f t="shared" si="18"/>
        <v>0</v>
      </c>
      <c r="G98" s="242">
        <f t="shared" si="16"/>
        <v>0</v>
      </c>
      <c r="H98" s="242">
        <f t="shared" si="19"/>
        <v>0</v>
      </c>
      <c r="I98" s="242">
        <f t="shared" si="20"/>
        <v>0</v>
      </c>
      <c r="J98" s="243"/>
      <c r="K98" s="243"/>
      <c r="L98" s="243"/>
      <c r="M98" s="243"/>
      <c r="N98" s="244">
        <f t="shared" si="21"/>
        <v>0</v>
      </c>
    </row>
    <row r="99" spans="1:14">
      <c r="A99" s="54">
        <f t="shared" si="14"/>
        <v>79</v>
      </c>
      <c r="B99" s="38">
        <f>Metadata!C102</f>
        <v>8.5353028014871254E-2</v>
      </c>
      <c r="C99" s="38">
        <f>Metadata!G102</f>
        <v>0.34497575226643551</v>
      </c>
      <c r="D99" s="38">
        <f t="shared" si="15"/>
        <v>1</v>
      </c>
      <c r="E99" s="38">
        <f t="shared" si="17"/>
        <v>0</v>
      </c>
      <c r="F99" s="241">
        <f t="shared" si="18"/>
        <v>0</v>
      </c>
      <c r="G99" s="242">
        <f t="shared" si="16"/>
        <v>0</v>
      </c>
      <c r="H99" s="242">
        <f t="shared" si="19"/>
        <v>0</v>
      </c>
      <c r="I99" s="242">
        <f t="shared" si="20"/>
        <v>0</v>
      </c>
      <c r="J99" s="243"/>
      <c r="K99" s="243"/>
      <c r="L99" s="243"/>
      <c r="M99" s="243"/>
      <c r="N99" s="244">
        <f t="shared" si="21"/>
        <v>0</v>
      </c>
    </row>
    <row r="100" spans="1:14">
      <c r="A100" s="54">
        <f t="shared" si="14"/>
        <v>80</v>
      </c>
      <c r="B100" s="38">
        <f>Metadata!C103</f>
        <v>8.3271246843776847E-2</v>
      </c>
      <c r="C100" s="38">
        <f>Metadata!G103</f>
        <v>0.34132021278748159</v>
      </c>
      <c r="D100" s="38">
        <f t="shared" si="15"/>
        <v>1</v>
      </c>
      <c r="E100" s="38">
        <f t="shared" si="17"/>
        <v>0</v>
      </c>
      <c r="F100" s="241">
        <f t="shared" si="18"/>
        <v>0</v>
      </c>
      <c r="G100" s="242">
        <f t="shared" si="16"/>
        <v>0</v>
      </c>
      <c r="H100" s="242">
        <f t="shared" si="19"/>
        <v>0</v>
      </c>
      <c r="I100" s="242">
        <f t="shared" si="20"/>
        <v>0</v>
      </c>
      <c r="J100" s="243"/>
      <c r="K100" s="243"/>
      <c r="L100" s="243"/>
      <c r="M100" s="243"/>
      <c r="N100" s="244">
        <f t="shared" si="21"/>
        <v>0</v>
      </c>
    </row>
    <row r="101" spans="1:14">
      <c r="A101" s="54">
        <f t="shared" si="14"/>
        <v>81</v>
      </c>
      <c r="B101" s="38">
        <f>Metadata!C104</f>
        <v>8.1240240823196933E-2</v>
      </c>
      <c r="C101" s="38">
        <f>Metadata!G104</f>
        <v>0.33770340927415538</v>
      </c>
      <c r="D101" s="38">
        <f t="shared" si="15"/>
        <v>1</v>
      </c>
      <c r="E101" s="38">
        <f t="shared" si="17"/>
        <v>0</v>
      </c>
      <c r="F101" s="241">
        <f t="shared" si="18"/>
        <v>0</v>
      </c>
      <c r="G101" s="242">
        <f t="shared" si="16"/>
        <v>0</v>
      </c>
      <c r="H101" s="242">
        <f t="shared" si="19"/>
        <v>0</v>
      </c>
      <c r="I101" s="242">
        <f t="shared" si="20"/>
        <v>0</v>
      </c>
      <c r="J101" s="243"/>
      <c r="K101" s="243"/>
      <c r="L101" s="243"/>
      <c r="M101" s="243"/>
      <c r="N101" s="244">
        <f t="shared" si="21"/>
        <v>0</v>
      </c>
    </row>
    <row r="102" spans="1:14">
      <c r="A102" s="54">
        <f t="shared" ref="A102:A119" si="22">A101+1</f>
        <v>82</v>
      </c>
      <c r="B102" s="38">
        <f>Metadata!C105</f>
        <v>7.9258771534826286E-2</v>
      </c>
      <c r="C102" s="38">
        <f>Metadata!G105</f>
        <v>0.33412493126035697</v>
      </c>
      <c r="D102" s="38">
        <f t="shared" si="15"/>
        <v>1</v>
      </c>
      <c r="E102" s="38">
        <f t="shared" si="17"/>
        <v>0</v>
      </c>
      <c r="F102" s="241">
        <f t="shared" si="18"/>
        <v>0</v>
      </c>
      <c r="G102" s="242">
        <f t="shared" si="16"/>
        <v>0</v>
      </c>
      <c r="H102" s="242">
        <f t="shared" si="19"/>
        <v>0</v>
      </c>
      <c r="I102" s="242">
        <f t="shared" si="20"/>
        <v>0</v>
      </c>
      <c r="J102" s="243"/>
      <c r="K102" s="243"/>
      <c r="L102" s="243"/>
      <c r="M102" s="243"/>
      <c r="N102" s="244">
        <f t="shared" si="21"/>
        <v>0</v>
      </c>
    </row>
    <row r="103" spans="1:14">
      <c r="A103" s="54">
        <f t="shared" si="22"/>
        <v>83</v>
      </c>
      <c r="B103" s="38">
        <f>Metadata!C106</f>
        <v>7.7325630765684189E-2</v>
      </c>
      <c r="C103" s="38">
        <f>Metadata!G106</f>
        <v>0.33058437262949508</v>
      </c>
      <c r="D103" s="38">
        <f t="shared" si="15"/>
        <v>1</v>
      </c>
      <c r="E103" s="38">
        <f t="shared" si="17"/>
        <v>0</v>
      </c>
      <c r="F103" s="241">
        <f t="shared" si="18"/>
        <v>0</v>
      </c>
      <c r="G103" s="242">
        <f t="shared" si="16"/>
        <v>0</v>
      </c>
      <c r="H103" s="242">
        <f t="shared" si="19"/>
        <v>0</v>
      </c>
      <c r="I103" s="242">
        <f t="shared" si="20"/>
        <v>0</v>
      </c>
      <c r="J103" s="243"/>
      <c r="K103" s="243"/>
      <c r="L103" s="243"/>
      <c r="M103" s="243"/>
      <c r="N103" s="244">
        <f t="shared" si="21"/>
        <v>0</v>
      </c>
    </row>
    <row r="104" spans="1:14">
      <c r="A104" s="54">
        <f t="shared" si="22"/>
        <v>84</v>
      </c>
      <c r="B104" s="38">
        <f>Metadata!C107</f>
        <v>7.5439639771399211E-2</v>
      </c>
      <c r="C104" s="38">
        <f>Metadata!G107</f>
        <v>0.32708133156839753</v>
      </c>
      <c r="D104" s="38">
        <f t="shared" si="15"/>
        <v>1</v>
      </c>
      <c r="E104" s="38">
        <f t="shared" si="17"/>
        <v>0</v>
      </c>
      <c r="F104" s="241">
        <f t="shared" si="18"/>
        <v>0</v>
      </c>
      <c r="G104" s="242">
        <f t="shared" si="16"/>
        <v>0</v>
      </c>
      <c r="H104" s="242">
        <f t="shared" si="19"/>
        <v>0</v>
      </c>
      <c r="I104" s="242">
        <f t="shared" si="20"/>
        <v>0</v>
      </c>
      <c r="J104" s="243"/>
      <c r="K104" s="243"/>
      <c r="L104" s="243"/>
      <c r="M104" s="243"/>
      <c r="N104" s="244">
        <f t="shared" si="21"/>
        <v>0</v>
      </c>
    </row>
    <row r="105" spans="1:14">
      <c r="A105" s="54">
        <f t="shared" si="22"/>
        <v>85</v>
      </c>
      <c r="B105" s="38">
        <f>Metadata!C108</f>
        <v>7.3599648557462649E-2</v>
      </c>
      <c r="C105" s="38">
        <f>Metadata!G108</f>
        <v>0.32361541052171</v>
      </c>
      <c r="D105" s="38">
        <f t="shared" si="15"/>
        <v>1</v>
      </c>
      <c r="E105" s="38">
        <f t="shared" si="17"/>
        <v>0</v>
      </c>
      <c r="F105" s="241">
        <f t="shared" si="18"/>
        <v>0</v>
      </c>
      <c r="G105" s="242">
        <f t="shared" si="16"/>
        <v>0</v>
      </c>
      <c r="H105" s="242">
        <f t="shared" si="19"/>
        <v>0</v>
      </c>
      <c r="I105" s="242">
        <f t="shared" si="20"/>
        <v>0</v>
      </c>
      <c r="J105" s="243"/>
      <c r="K105" s="243"/>
      <c r="L105" s="243"/>
      <c r="M105" s="243"/>
      <c r="N105" s="244">
        <f t="shared" si="21"/>
        <v>0</v>
      </c>
    </row>
    <row r="106" spans="1:14">
      <c r="A106" s="54">
        <f t="shared" si="22"/>
        <v>86</v>
      </c>
      <c r="B106" s="38">
        <f>Metadata!C109</f>
        <v>7.1804535178012344E-2</v>
      </c>
      <c r="C106" s="38">
        <f>Metadata!G109</f>
        <v>0.320186216146778</v>
      </c>
      <c r="D106" s="38">
        <f t="shared" si="15"/>
        <v>1</v>
      </c>
      <c r="E106" s="38">
        <f t="shared" si="17"/>
        <v>0</v>
      </c>
      <c r="F106" s="241">
        <f t="shared" si="18"/>
        <v>0</v>
      </c>
      <c r="G106" s="242">
        <f t="shared" si="16"/>
        <v>0</v>
      </c>
      <c r="H106" s="242">
        <f t="shared" si="19"/>
        <v>0</v>
      </c>
      <c r="I106" s="242">
        <f t="shared" si="20"/>
        <v>0</v>
      </c>
      <c r="J106" s="243"/>
      <c r="K106" s="243"/>
      <c r="L106" s="243"/>
      <c r="M106" s="243"/>
      <c r="N106" s="244">
        <f t="shared" si="21"/>
        <v>0</v>
      </c>
    </row>
    <row r="107" spans="1:14">
      <c r="A107" s="54">
        <f t="shared" si="22"/>
        <v>87</v>
      </c>
      <c r="B107" s="38">
        <f>Metadata!C110</f>
        <v>7.0053205051719372E-2</v>
      </c>
      <c r="C107" s="38">
        <f>Metadata!G110</f>
        <v>0.31679335926900692</v>
      </c>
      <c r="D107" s="38">
        <f t="shared" si="15"/>
        <v>1</v>
      </c>
      <c r="E107" s="38">
        <f t="shared" si="17"/>
        <v>0</v>
      </c>
      <c r="F107" s="241">
        <f t="shared" si="18"/>
        <v>0</v>
      </c>
      <c r="G107" s="242">
        <f t="shared" si="16"/>
        <v>0</v>
      </c>
      <c r="H107" s="242">
        <f t="shared" si="19"/>
        <v>0</v>
      </c>
      <c r="I107" s="242">
        <f t="shared" si="20"/>
        <v>0</v>
      </c>
      <c r="J107" s="243"/>
      <c r="K107" s="243"/>
      <c r="L107" s="243"/>
      <c r="M107" s="243"/>
      <c r="N107" s="244">
        <f t="shared" si="21"/>
        <v>0</v>
      </c>
    </row>
    <row r="108" spans="1:14">
      <c r="A108" s="54">
        <f t="shared" si="22"/>
        <v>88</v>
      </c>
      <c r="B108" s="38">
        <f>Metadata!C111</f>
        <v>6.8344590294360366E-2</v>
      </c>
      <c r="C108" s="38">
        <f>Metadata!G111</f>
        <v>0.31343645483769522</v>
      </c>
      <c r="D108" s="38">
        <f t="shared" si="15"/>
        <v>1</v>
      </c>
      <c r="E108" s="38">
        <f t="shared" si="17"/>
        <v>0</v>
      </c>
      <c r="F108" s="241">
        <f t="shared" si="18"/>
        <v>0</v>
      </c>
      <c r="G108" s="242">
        <f t="shared" si="16"/>
        <v>0</v>
      </c>
      <c r="H108" s="242">
        <f t="shared" si="19"/>
        <v>0</v>
      </c>
      <c r="I108" s="242">
        <f t="shared" si="20"/>
        <v>0</v>
      </c>
      <c r="J108" s="243"/>
      <c r="K108" s="243"/>
      <c r="L108" s="243"/>
      <c r="M108" s="243"/>
      <c r="N108" s="244">
        <f t="shared" si="21"/>
        <v>0</v>
      </c>
    </row>
    <row r="109" spans="1:14">
      <c r="A109" s="54">
        <f t="shared" si="22"/>
        <v>89</v>
      </c>
      <c r="B109" s="38">
        <f>Metadata!C112</f>
        <v>6.6677649067668654E-2</v>
      </c>
      <c r="C109" s="38">
        <f>Metadata!G112</f>
        <v>0.31011512188233542</v>
      </c>
      <c r="D109" s="38">
        <f t="shared" si="15"/>
        <v>1</v>
      </c>
      <c r="E109" s="38">
        <f t="shared" si="17"/>
        <v>0</v>
      </c>
      <c r="F109" s="241">
        <f t="shared" si="18"/>
        <v>0</v>
      </c>
      <c r="G109" s="242">
        <f t="shared" si="16"/>
        <v>0</v>
      </c>
      <c r="H109" s="242">
        <f t="shared" si="19"/>
        <v>0</v>
      </c>
      <c r="I109" s="242">
        <f t="shared" si="20"/>
        <v>0</v>
      </c>
      <c r="J109" s="243"/>
      <c r="K109" s="243"/>
      <c r="L109" s="243"/>
      <c r="M109" s="243"/>
      <c r="N109" s="244">
        <f t="shared" si="21"/>
        <v>0</v>
      </c>
    </row>
    <row r="110" spans="1:14">
      <c r="A110" s="54">
        <f t="shared" si="22"/>
        <v>90</v>
      </c>
      <c r="B110" s="38">
        <f>Metadata!C113</f>
        <v>6.5051364944066992E-2</v>
      </c>
      <c r="C110" s="38">
        <f>Metadata!G113</f>
        <v>0.30682898346937837</v>
      </c>
      <c r="D110" s="38">
        <f t="shared" si="15"/>
        <v>1</v>
      </c>
      <c r="E110" s="38">
        <f t="shared" si="17"/>
        <v>0</v>
      </c>
      <c r="F110" s="241">
        <f t="shared" si="18"/>
        <v>0</v>
      </c>
      <c r="G110" s="242">
        <f t="shared" si="16"/>
        <v>0</v>
      </c>
      <c r="H110" s="242">
        <f t="shared" si="19"/>
        <v>0</v>
      </c>
      <c r="I110" s="242">
        <f t="shared" si="20"/>
        <v>0</v>
      </c>
      <c r="J110" s="243"/>
      <c r="K110" s="243"/>
      <c r="L110" s="243"/>
      <c r="M110" s="243"/>
      <c r="N110" s="244">
        <f t="shared" si="21"/>
        <v>0</v>
      </c>
    </row>
    <row r="111" spans="1:14">
      <c r="A111" s="54">
        <f t="shared" si="22"/>
        <v>91</v>
      </c>
      <c r="B111" s="38">
        <f>Metadata!C114</f>
        <v>6.3464746286894635E-2</v>
      </c>
      <c r="C111" s="38">
        <f>Metadata!G114</f>
        <v>0.30357766665945563</v>
      </c>
      <c r="D111" s="38">
        <f t="shared" si="15"/>
        <v>1</v>
      </c>
      <c r="E111" s="38">
        <f t="shared" si="17"/>
        <v>0</v>
      </c>
      <c r="F111" s="241">
        <f t="shared" si="18"/>
        <v>0</v>
      </c>
      <c r="G111" s="242">
        <f t="shared" si="16"/>
        <v>0</v>
      </c>
      <c r="H111" s="242">
        <f t="shared" si="19"/>
        <v>0</v>
      </c>
      <c r="I111" s="242">
        <f t="shared" si="20"/>
        <v>0</v>
      </c>
      <c r="J111" s="243"/>
      <c r="K111" s="243"/>
      <c r="L111" s="243"/>
      <c r="M111" s="243"/>
      <c r="N111" s="244">
        <f t="shared" si="21"/>
        <v>0</v>
      </c>
    </row>
    <row r="112" spans="1:14">
      <c r="A112" s="54">
        <f t="shared" si="22"/>
        <v>92</v>
      </c>
      <c r="B112" s="38">
        <f>Metadata!C115</f>
        <v>6.1916825645750871E-2</v>
      </c>
      <c r="C112" s="38">
        <f>Metadata!G115</f>
        <v>0.30036080246505487</v>
      </c>
      <c r="D112" s="38">
        <f t="shared" si="15"/>
        <v>1</v>
      </c>
      <c r="E112" s="38">
        <f t="shared" si="17"/>
        <v>0</v>
      </c>
      <c r="F112" s="241">
        <f t="shared" si="18"/>
        <v>0</v>
      </c>
      <c r="G112" s="242">
        <f t="shared" si="16"/>
        <v>0</v>
      </c>
      <c r="H112" s="242">
        <f t="shared" si="19"/>
        <v>0</v>
      </c>
      <c r="I112" s="242">
        <f t="shared" si="20"/>
        <v>0</v>
      </c>
      <c r="J112" s="243"/>
      <c r="K112" s="243"/>
      <c r="L112" s="243"/>
      <c r="M112" s="243"/>
      <c r="N112" s="244">
        <f t="shared" si="21"/>
        <v>0</v>
      </c>
    </row>
    <row r="113" spans="1:14">
      <c r="A113" s="54">
        <f t="shared" si="22"/>
        <v>93</v>
      </c>
      <c r="B113" s="38">
        <f>Metadata!C116</f>
        <v>6.0406659166586218E-2</v>
      </c>
      <c r="C113" s="38">
        <f>Metadata!G116</f>
        <v>0.29717802580864427</v>
      </c>
      <c r="D113" s="38">
        <f t="shared" si="15"/>
        <v>1</v>
      </c>
      <c r="E113" s="38">
        <f t="shared" si="17"/>
        <v>0</v>
      </c>
      <c r="F113" s="241">
        <f t="shared" si="18"/>
        <v>0</v>
      </c>
      <c r="G113" s="242">
        <f t="shared" si="16"/>
        <v>0</v>
      </c>
      <c r="H113" s="242">
        <f t="shared" si="19"/>
        <v>0</v>
      </c>
      <c r="I113" s="242">
        <f t="shared" si="20"/>
        <v>0</v>
      </c>
      <c r="J113" s="243"/>
      <c r="K113" s="243"/>
      <c r="L113" s="243"/>
      <c r="M113" s="243"/>
      <c r="N113" s="244">
        <f t="shared" si="21"/>
        <v>0</v>
      </c>
    </row>
    <row r="114" spans="1:14">
      <c r="A114" s="54">
        <f t="shared" si="22"/>
        <v>94</v>
      </c>
      <c r="B114" s="38">
        <f>Metadata!C117</f>
        <v>5.8933326016181682E-2</v>
      </c>
      <c r="C114" s="38">
        <f>Metadata!G117</f>
        <v>0.29402897548124018</v>
      </c>
      <c r="D114" s="38">
        <f t="shared" si="15"/>
        <v>1</v>
      </c>
      <c r="E114" s="38">
        <f t="shared" si="17"/>
        <v>0</v>
      </c>
      <c r="F114" s="241">
        <f t="shared" si="18"/>
        <v>0</v>
      </c>
      <c r="G114" s="242">
        <f t="shared" si="16"/>
        <v>0</v>
      </c>
      <c r="H114" s="242">
        <f t="shared" si="19"/>
        <v>0</v>
      </c>
      <c r="I114" s="242">
        <f t="shared" si="20"/>
        <v>0</v>
      </c>
      <c r="J114" s="243"/>
      <c r="K114" s="243"/>
      <c r="L114" s="243"/>
      <c r="M114" s="243"/>
      <c r="N114" s="244">
        <f t="shared" si="21"/>
        <v>0</v>
      </c>
    </row>
    <row r="115" spans="1:14">
      <c r="A115" s="54">
        <f t="shared" si="22"/>
        <v>95</v>
      </c>
      <c r="B115" s="38">
        <f>Metadata!C118</f>
        <v>5.7495927820665059E-2</v>
      </c>
      <c r="C115" s="38">
        <f>Metadata!G118</f>
        <v>0.29091329410141403</v>
      </c>
      <c r="D115" s="38">
        <f t="shared" si="15"/>
        <v>1</v>
      </c>
      <c r="E115" s="38">
        <f t="shared" si="17"/>
        <v>0</v>
      </c>
      <c r="F115" s="241">
        <f t="shared" si="18"/>
        <v>0</v>
      </c>
      <c r="G115" s="242">
        <f t="shared" si="16"/>
        <v>0</v>
      </c>
      <c r="H115" s="242">
        <f t="shared" si="19"/>
        <v>0</v>
      </c>
      <c r="I115" s="242">
        <f t="shared" si="20"/>
        <v>0</v>
      </c>
      <c r="J115" s="243"/>
      <c r="K115" s="243"/>
      <c r="L115" s="243"/>
      <c r="M115" s="243"/>
      <c r="N115" s="244">
        <f t="shared" si="21"/>
        <v>0</v>
      </c>
    </row>
    <row r="116" spans="1:14">
      <c r="A116" s="54">
        <f t="shared" si="22"/>
        <v>96</v>
      </c>
      <c r="B116" s="38">
        <f>Metadata!C119</f>
        <v>5.6093588117722012E-2</v>
      </c>
      <c r="C116" s="38">
        <f>Metadata!G119</f>
        <v>0.28783062807473364</v>
      </c>
      <c r="D116" s="38">
        <f t="shared" si="15"/>
        <v>1</v>
      </c>
      <c r="E116" s="38">
        <f t="shared" si="17"/>
        <v>0</v>
      </c>
      <c r="F116" s="241">
        <f t="shared" si="18"/>
        <v>0</v>
      </c>
      <c r="G116" s="242">
        <f t="shared" si="16"/>
        <v>0</v>
      </c>
      <c r="H116" s="242">
        <f t="shared" si="19"/>
        <v>0</v>
      </c>
      <c r="I116" s="242">
        <f t="shared" si="20"/>
        <v>0</v>
      </c>
      <c r="J116" s="243"/>
      <c r="K116" s="243"/>
      <c r="L116" s="243"/>
      <c r="M116" s="243"/>
      <c r="N116" s="244">
        <f t="shared" si="21"/>
        <v>0</v>
      </c>
    </row>
    <row r="117" spans="1:14">
      <c r="A117" s="54">
        <f t="shared" si="22"/>
        <v>97</v>
      </c>
      <c r="B117" s="38">
        <f>Metadata!C120</f>
        <v>5.4725451822167821E-2</v>
      </c>
      <c r="C117" s="38">
        <f>Metadata!G120</f>
        <v>0.2847806275536342</v>
      </c>
      <c r="D117" s="38">
        <f t="shared" si="15"/>
        <v>1</v>
      </c>
      <c r="E117" s="38">
        <f t="shared" ref="E117:E119" si="23">D117*F116</f>
        <v>0</v>
      </c>
      <c r="F117" s="241">
        <f t="shared" ref="F117:F119" si="24">F116-E117</f>
        <v>0</v>
      </c>
      <c r="G117" s="242">
        <f t="shared" si="16"/>
        <v>0</v>
      </c>
      <c r="H117" s="242">
        <f t="shared" si="19"/>
        <v>0</v>
      </c>
      <c r="I117" s="242">
        <f t="shared" si="20"/>
        <v>0</v>
      </c>
      <c r="J117" s="243"/>
      <c r="K117" s="243"/>
      <c r="L117" s="243"/>
      <c r="M117" s="243"/>
      <c r="N117" s="244">
        <f t="shared" si="21"/>
        <v>0</v>
      </c>
    </row>
    <row r="118" spans="1:14">
      <c r="A118" s="54">
        <f t="shared" si="22"/>
        <v>98</v>
      </c>
      <c r="B118" s="38">
        <f>Metadata!C121</f>
        <v>5.3390684704553978E-2</v>
      </c>
      <c r="C118" s="38">
        <f>Metadata!G121</f>
        <v>0.28176294639771465</v>
      </c>
      <c r="D118" s="38">
        <f t="shared" si="15"/>
        <v>1</v>
      </c>
      <c r="E118" s="38">
        <f t="shared" si="23"/>
        <v>0</v>
      </c>
      <c r="F118" s="241">
        <f t="shared" si="24"/>
        <v>0</v>
      </c>
      <c r="G118" s="242">
        <f t="shared" si="16"/>
        <v>0</v>
      </c>
      <c r="H118" s="242">
        <f t="shared" si="19"/>
        <v>0</v>
      </c>
      <c r="I118" s="242">
        <f t="shared" si="20"/>
        <v>0</v>
      </c>
      <c r="J118" s="243"/>
      <c r="K118" s="243"/>
      <c r="L118" s="243"/>
      <c r="M118" s="243"/>
      <c r="N118" s="244">
        <f t="shared" si="21"/>
        <v>0</v>
      </c>
    </row>
    <row r="119" spans="1:14">
      <c r="A119" s="54">
        <f t="shared" si="22"/>
        <v>99</v>
      </c>
      <c r="B119" s="38">
        <f>Metadata!C122</f>
        <v>5.2088472882491688E-2</v>
      </c>
      <c r="C119" s="38">
        <f>Metadata!G122</f>
        <v>0.27877724213445465</v>
      </c>
      <c r="D119" s="38">
        <f t="shared" si="15"/>
        <v>1</v>
      </c>
      <c r="E119" s="38">
        <f t="shared" si="23"/>
        <v>0</v>
      </c>
      <c r="F119" s="241">
        <f t="shared" si="24"/>
        <v>0</v>
      </c>
      <c r="G119" s="242">
        <f t="shared" si="16"/>
        <v>0</v>
      </c>
      <c r="H119" s="242">
        <f t="shared" si="19"/>
        <v>0</v>
      </c>
      <c r="I119" s="242">
        <f t="shared" si="20"/>
        <v>0</v>
      </c>
      <c r="J119" s="243"/>
      <c r="K119" s="243"/>
      <c r="L119" s="243"/>
      <c r="M119" s="243"/>
      <c r="N119" s="244">
        <f t="shared" si="21"/>
        <v>0</v>
      </c>
    </row>
    <row r="120" spans="1:14">
      <c r="A120" s="56"/>
      <c r="B120" s="127"/>
      <c r="C120" s="1"/>
      <c r="D120" s="1"/>
      <c r="E120" s="1"/>
      <c r="F120" s="9"/>
      <c r="G120" s="245"/>
      <c r="H120" s="245"/>
      <c r="I120" s="245"/>
      <c r="J120" s="245"/>
      <c r="K120" s="245"/>
      <c r="L120" s="245"/>
      <c r="M120" s="245"/>
      <c r="N120" s="246"/>
    </row>
    <row r="121" spans="1:14" ht="13.5" thickBot="1">
      <c r="A121" s="10" t="s">
        <v>160</v>
      </c>
      <c r="B121" s="5"/>
      <c r="C121" s="5"/>
      <c r="D121" s="5"/>
      <c r="E121" s="5"/>
      <c r="F121" s="13"/>
      <c r="G121" s="247">
        <f>SUM(G20:G119)</f>
        <v>0</v>
      </c>
      <c r="H121" s="247">
        <f>SUM(H20:H119)</f>
        <v>0</v>
      </c>
      <c r="I121" s="248"/>
      <c r="J121" s="248"/>
      <c r="K121" s="248"/>
      <c r="L121" s="248"/>
      <c r="M121" s="248"/>
      <c r="N121" s="249">
        <f>SUM(N20:N119)</f>
        <v>0</v>
      </c>
    </row>
    <row r="122" spans="1:14">
      <c r="A122" s="3"/>
      <c r="B122" s="1"/>
      <c r="C122" s="1"/>
      <c r="D122" s="1"/>
      <c r="E122" s="1"/>
      <c r="F122" s="1"/>
      <c r="G122" s="1"/>
      <c r="H122" s="1"/>
      <c r="I122" s="1"/>
      <c r="J122" s="1"/>
      <c r="K122" s="1"/>
      <c r="L122" s="1"/>
      <c r="M122" s="1"/>
      <c r="N122" s="9"/>
    </row>
    <row r="123" spans="1:14" ht="15.75">
      <c r="A123" s="57" t="s">
        <v>122</v>
      </c>
      <c r="B123" s="1"/>
      <c r="C123" s="1"/>
      <c r="D123" s="1"/>
      <c r="E123" s="1"/>
      <c r="F123" s="1"/>
      <c r="G123" s="1"/>
      <c r="H123" s="1"/>
      <c r="I123" s="1"/>
      <c r="J123" s="1"/>
      <c r="K123" s="1"/>
      <c r="L123" s="1"/>
      <c r="M123" s="1"/>
      <c r="N123" s="9"/>
    </row>
    <row r="124" spans="1:14">
      <c r="A124" s="297" t="s">
        <v>161</v>
      </c>
      <c r="B124" s="1"/>
      <c r="C124" s="1"/>
      <c r="D124" s="1"/>
      <c r="E124" s="1"/>
      <c r="F124" s="1"/>
      <c r="G124" s="1"/>
      <c r="H124" s="1"/>
      <c r="I124" s="1"/>
      <c r="J124" s="1"/>
      <c r="K124" s="1"/>
      <c r="L124" s="1"/>
      <c r="M124" s="1"/>
      <c r="N124" s="9"/>
    </row>
    <row r="125" spans="1:14">
      <c r="A125" s="221" t="s">
        <v>162</v>
      </c>
      <c r="B125" s="1"/>
      <c r="C125" s="1"/>
      <c r="D125" s="1"/>
      <c r="E125" s="1"/>
      <c r="F125" s="1"/>
      <c r="G125" s="1"/>
      <c r="H125" s="1"/>
      <c r="I125" s="1"/>
      <c r="J125" s="1"/>
      <c r="K125" s="1"/>
      <c r="L125" s="1"/>
      <c r="M125" s="1"/>
      <c r="N125" s="9"/>
    </row>
    <row r="126" spans="1:14">
      <c r="A126" s="221" t="s">
        <v>163</v>
      </c>
      <c r="B126" s="1"/>
      <c r="C126" s="1"/>
      <c r="D126" s="1"/>
      <c r="E126" s="1"/>
      <c r="F126" s="1"/>
      <c r="G126" s="1"/>
      <c r="H126" s="1"/>
      <c r="I126" s="1"/>
      <c r="J126" s="1"/>
      <c r="K126" s="1"/>
      <c r="L126" s="1"/>
      <c r="M126" s="1"/>
      <c r="N126" s="9"/>
    </row>
    <row r="127" spans="1:14">
      <c r="A127" s="221" t="s">
        <v>164</v>
      </c>
      <c r="B127" s="1"/>
      <c r="C127" s="1"/>
      <c r="D127" s="1"/>
      <c r="E127" s="1"/>
      <c r="F127" s="1"/>
      <c r="G127" s="1"/>
      <c r="H127" s="1"/>
      <c r="I127" s="1"/>
      <c r="J127" s="1"/>
      <c r="K127" s="1"/>
      <c r="L127" s="1"/>
      <c r="M127" s="1"/>
      <c r="N127" s="9"/>
    </row>
    <row r="128" spans="1:14">
      <c r="A128" s="221" t="s">
        <v>165</v>
      </c>
      <c r="B128" s="1"/>
      <c r="C128" s="1"/>
      <c r="D128" s="1"/>
      <c r="E128" s="1"/>
      <c r="F128" s="1"/>
      <c r="G128" s="1"/>
      <c r="H128" s="1"/>
      <c r="I128" s="1"/>
      <c r="J128" s="1"/>
      <c r="K128" s="1"/>
      <c r="L128" s="1"/>
      <c r="M128" s="1"/>
      <c r="N128" s="9"/>
    </row>
    <row r="129" spans="1:14">
      <c r="A129" s="221" t="s">
        <v>166</v>
      </c>
      <c r="B129" s="1"/>
      <c r="C129" s="1"/>
      <c r="D129" s="1"/>
      <c r="E129" s="1"/>
      <c r="F129" s="1"/>
      <c r="G129" s="1"/>
      <c r="H129" s="1"/>
      <c r="I129" s="1"/>
      <c r="J129" s="1"/>
      <c r="K129" s="1"/>
      <c r="L129" s="1"/>
      <c r="M129" s="1"/>
      <c r="N129" s="9"/>
    </row>
    <row r="130" spans="1:14" ht="13.5" thickBot="1">
      <c r="A130" s="298" t="s">
        <v>167</v>
      </c>
      <c r="B130" s="5"/>
      <c r="C130" s="5"/>
      <c r="D130" s="5"/>
      <c r="E130" s="5"/>
      <c r="F130" s="5"/>
      <c r="G130" s="5"/>
      <c r="H130" s="5"/>
      <c r="I130" s="5"/>
      <c r="J130" s="5"/>
      <c r="K130" s="5"/>
      <c r="L130" s="5"/>
      <c r="M130" s="5"/>
      <c r="N130" s="13"/>
    </row>
  </sheetData>
  <phoneticPr fontId="11" type="noConversion"/>
  <pageMargins left="0.75" right="0.75" top="1" bottom="1" header="0.5" footer="0.5"/>
  <pageSetup paperSize="9" scale="71" fitToHeight="2" orientation="portrait" horizontalDpi="300" verticalDpi="300"/>
  <headerFooter alignWithMargins="0">
    <oddHeader>&amp;LFCDPAG3&amp;C&amp;A</oddHeader>
  </headerFooter>
  <rowBreaks count="1" manualBreakCount="1">
    <brk id="69" max="11" man="1"/>
  </rowBreak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75"/>
  <sheetViews>
    <sheetView zoomScale="75" zoomScaleNormal="100" workbookViewId="0">
      <selection activeCell="A75" sqref="A75"/>
    </sheetView>
  </sheetViews>
  <sheetFormatPr defaultRowHeight="12.75"/>
  <cols>
    <col min="1" max="1" width="4.7109375" style="123" customWidth="1"/>
    <col min="2" max="2" width="34.85546875" style="123" customWidth="1"/>
    <col min="3" max="3" width="11.7109375" style="123" customWidth="1"/>
    <col min="4" max="4" width="13.85546875" customWidth="1"/>
    <col min="5" max="5" width="12.7109375" customWidth="1"/>
    <col min="6" max="6" width="13.85546875" customWidth="1"/>
    <col min="7" max="7" width="14.42578125" customWidth="1"/>
    <col min="8" max="10" width="11.7109375" customWidth="1"/>
    <col min="25" max="25" width="9" customWidth="1"/>
    <col min="26" max="26" width="9.42578125" customWidth="1"/>
    <col min="27" max="27" width="9.140625" customWidth="1"/>
  </cols>
  <sheetData>
    <row r="1" spans="1:13" ht="18">
      <c r="A1" s="67"/>
      <c r="B1" s="75"/>
      <c r="C1" s="23"/>
      <c r="D1" s="62" t="s">
        <v>168</v>
      </c>
      <c r="E1" s="2"/>
      <c r="F1" s="2"/>
      <c r="G1" s="2"/>
      <c r="H1" s="75" t="s">
        <v>92</v>
      </c>
      <c r="I1" s="68"/>
      <c r="J1" s="8"/>
    </row>
    <row r="2" spans="1:13">
      <c r="A2" s="20" t="s">
        <v>42</v>
      </c>
      <c r="B2" s="26"/>
      <c r="C2" s="26"/>
      <c r="D2" s="1"/>
      <c r="E2" s="1"/>
      <c r="F2" s="1"/>
      <c r="G2" s="1"/>
      <c r="H2" s="1"/>
      <c r="I2" s="1"/>
      <c r="J2" s="9"/>
    </row>
    <row r="3" spans="1:13">
      <c r="A3" s="386">
        <f>Summary!A3</f>
        <v>0</v>
      </c>
      <c r="B3" s="387"/>
      <c r="C3" s="387"/>
      <c r="D3" s="1"/>
      <c r="E3" s="1"/>
      <c r="F3" s="1"/>
      <c r="G3" s="1"/>
      <c r="H3" s="1"/>
      <c r="I3" s="1"/>
      <c r="J3" s="9"/>
    </row>
    <row r="4" spans="1:13">
      <c r="A4" s="20" t="s">
        <v>45</v>
      </c>
      <c r="B4" s="26"/>
      <c r="C4" s="26"/>
      <c r="D4" s="111" t="s">
        <v>169</v>
      </c>
      <c r="E4" s="78"/>
      <c r="F4" s="112"/>
      <c r="G4" s="112" t="s">
        <v>170</v>
      </c>
      <c r="H4" s="79" t="s">
        <v>43</v>
      </c>
      <c r="I4" s="78"/>
      <c r="J4" s="71">
        <f>Summary!F2</f>
        <v>44562</v>
      </c>
    </row>
    <row r="5" spans="1:13">
      <c r="A5" s="386">
        <f>Summary!A5</f>
        <v>0</v>
      </c>
      <c r="B5" s="387"/>
      <c r="C5" s="387"/>
      <c r="D5" s="378" t="str">
        <f>Summary!A47</f>
        <v>Do Nothing</v>
      </c>
      <c r="E5" s="30"/>
      <c r="F5" s="1"/>
      <c r="G5" s="63">
        <v>0</v>
      </c>
      <c r="H5" s="81" t="s">
        <v>44</v>
      </c>
      <c r="I5" s="1"/>
      <c r="J5" s="71">
        <f ca="1">Summary!F3</f>
        <v>44692</v>
      </c>
    </row>
    <row r="6" spans="1:13">
      <c r="A6" s="20" t="s">
        <v>48</v>
      </c>
      <c r="B6" s="26"/>
      <c r="C6" s="299">
        <f>Summary!C6</f>
        <v>0</v>
      </c>
      <c r="D6" s="378" t="str">
        <f>Summary!A48</f>
        <v>Do Minimum</v>
      </c>
      <c r="E6" s="30"/>
      <c r="F6" s="1"/>
      <c r="G6" s="63">
        <v>10</v>
      </c>
      <c r="H6" s="300" t="s">
        <v>46</v>
      </c>
      <c r="I6" s="1"/>
      <c r="J6" s="181">
        <f>Summary!F4</f>
        <v>0</v>
      </c>
    </row>
    <row r="7" spans="1:13">
      <c r="A7" s="20" t="s">
        <v>50</v>
      </c>
      <c r="B7" s="26"/>
      <c r="C7" s="301">
        <f>Summary!C7</f>
        <v>44562</v>
      </c>
      <c r="D7" s="378" t="str">
        <f>Summary!A49</f>
        <v>Option 3</v>
      </c>
      <c r="E7" s="30"/>
      <c r="F7" s="1"/>
      <c r="G7" s="63">
        <v>20</v>
      </c>
      <c r="H7" s="300" t="s">
        <v>47</v>
      </c>
      <c r="I7" s="1"/>
      <c r="J7" s="181">
        <f>Summary!F5</f>
        <v>0</v>
      </c>
      <c r="M7" s="206"/>
    </row>
    <row r="8" spans="1:13">
      <c r="A8" s="20" t="s">
        <v>52</v>
      </c>
      <c r="B8" s="26"/>
      <c r="C8" s="299" t="str">
        <f>Summary!C8</f>
        <v>£k</v>
      </c>
      <c r="D8" s="378" t="str">
        <f>Summary!A50</f>
        <v>Option 4</v>
      </c>
      <c r="E8" s="30"/>
      <c r="F8" s="1"/>
      <c r="G8" s="63">
        <v>30</v>
      </c>
      <c r="H8" s="300" t="s">
        <v>49</v>
      </c>
      <c r="I8" s="1"/>
      <c r="J8" s="181">
        <f>Summary!F6</f>
        <v>0</v>
      </c>
    </row>
    <row r="9" spans="1:13" ht="13.5" thickBot="1">
      <c r="A9" s="20" t="s">
        <v>171</v>
      </c>
      <c r="B9" s="26"/>
      <c r="C9" s="302">
        <f>Metadata!B23</f>
        <v>3.5000000000000003E-2</v>
      </c>
      <c r="D9" s="378" t="str">
        <f>Summary!A51</f>
        <v>Option 5</v>
      </c>
      <c r="E9" s="30"/>
      <c r="F9" s="1"/>
      <c r="G9" s="63">
        <v>40</v>
      </c>
      <c r="H9" s="113"/>
      <c r="I9" s="114"/>
      <c r="J9" s="115"/>
    </row>
    <row r="10" spans="1:13" ht="47.25" customHeight="1">
      <c r="A10" s="116" t="s">
        <v>172</v>
      </c>
      <c r="B10" s="117" t="s">
        <v>173</v>
      </c>
      <c r="C10" s="169" t="s">
        <v>174</v>
      </c>
      <c r="D10" s="404" t="s">
        <v>175</v>
      </c>
      <c r="E10" s="404" t="s">
        <v>176</v>
      </c>
      <c r="F10" s="118"/>
      <c r="G10" s="18"/>
      <c r="H10" s="110" t="str">
        <f>CONCATENATE("PV Expected value of asset losses ",C8)</f>
        <v>PV Expected value of asset losses £k</v>
      </c>
      <c r="I10" s="110"/>
      <c r="J10" s="65"/>
    </row>
    <row r="11" spans="1:13" ht="24.95" customHeight="1">
      <c r="A11" s="119"/>
      <c r="B11" s="120" t="s">
        <v>177</v>
      </c>
      <c r="C11" s="121" t="str">
        <f>C8</f>
        <v>£k</v>
      </c>
      <c r="D11" s="412"/>
      <c r="E11" s="405"/>
      <c r="F11" s="170" t="str">
        <f>Summary!A47</f>
        <v>Do Nothing</v>
      </c>
      <c r="G11" s="170" t="str">
        <f>Summary!A48</f>
        <v>Do Minimum</v>
      </c>
      <c r="H11" s="170" t="str">
        <f>Summary!A49</f>
        <v>Option 3</v>
      </c>
      <c r="I11" s="170" t="str">
        <f>Summary!A50</f>
        <v>Option 4</v>
      </c>
      <c r="J11" s="171" t="str">
        <f>Summary!A51</f>
        <v>Option 5</v>
      </c>
    </row>
    <row r="12" spans="1:13">
      <c r="A12" s="122"/>
      <c r="B12" s="254"/>
      <c r="C12" s="303"/>
      <c r="D12" s="255"/>
      <c r="E12" s="261"/>
      <c r="F12" s="256">
        <f>$C12*$E12*VLOOKUP($D12,Metadata!$A$23:$C$123,3)</f>
        <v>0</v>
      </c>
      <c r="G12" s="256">
        <f>IF($D$6="","",$C12*$E12*VLOOKUP($D12+$G$6,Metadata!$A$23:$C$123,3))</f>
        <v>0</v>
      </c>
      <c r="H12" s="256">
        <f>IF($D$7="","",$C12*$E12*VLOOKUP($D12+$G$7,Metadata!$A$23:$C$123,3))</f>
        <v>0</v>
      </c>
      <c r="I12" s="256">
        <f>IF($D$8="","",$C12*$E12*VLOOKUP($D12+$G$8,Metadata!$A$23:$C$123,3))</f>
        <v>0</v>
      </c>
      <c r="J12" s="257">
        <f>IF($D$9="","",$C12*$E12*VLOOKUP($D12+$G$9,Metadata!$A$23:$C$123,3))</f>
        <v>0</v>
      </c>
    </row>
    <row r="13" spans="1:13">
      <c r="A13" s="122"/>
      <c r="B13" s="254"/>
      <c r="C13" s="303"/>
      <c r="D13" s="255"/>
      <c r="E13" s="261"/>
      <c r="F13" s="256">
        <f>$C13*$E13*VLOOKUP($D13,Metadata!$A$23:$C$123,3)</f>
        <v>0</v>
      </c>
      <c r="G13" s="256">
        <f>IF($D$6="","",$C13*$E13*VLOOKUP($D13+$G$6,Metadata!$A$23:$C$123,3))</f>
        <v>0</v>
      </c>
      <c r="H13" s="256">
        <f>IF($D$7="","",$C13*$E13*VLOOKUP($D13+$G$7,Metadata!$A$23:$C$123,3))</f>
        <v>0</v>
      </c>
      <c r="I13" s="256">
        <f>IF($D$8="","",$C13*$E13*VLOOKUP($D13+$G$8,Metadata!$A$23:$C$123,3))</f>
        <v>0</v>
      </c>
      <c r="J13" s="257">
        <f>IF($D$9="","",$C13*$E13*VLOOKUP($D13+$G$9,Metadata!$A$23:$C$123,3))</f>
        <v>0</v>
      </c>
    </row>
    <row r="14" spans="1:13">
      <c r="A14" s="122"/>
      <c r="B14" s="254"/>
      <c r="C14" s="303"/>
      <c r="D14" s="255"/>
      <c r="E14" s="261"/>
      <c r="F14" s="256">
        <f>$C14*$E14*VLOOKUP($D14,Metadata!$A$23:$C$123,3)</f>
        <v>0</v>
      </c>
      <c r="G14" s="256">
        <f>IF($D$6="","",$C14*$E14*VLOOKUP($D14+$G$6,Metadata!$A$23:$C$123,3))</f>
        <v>0</v>
      </c>
      <c r="H14" s="256">
        <f>IF($D$7="","",$C14*$E14*VLOOKUP($D14+$G$7,Metadata!$A$23:$C$123,3))</f>
        <v>0</v>
      </c>
      <c r="I14" s="256">
        <f>IF($D$8="","",$C14*$E14*VLOOKUP($D14+$G$8,Metadata!$A$23:$C$123,3))</f>
        <v>0</v>
      </c>
      <c r="J14" s="257">
        <f>IF($D$9="","",$C14*$E14*VLOOKUP($D14+$G$9,Metadata!$A$23:$C$123,3))</f>
        <v>0</v>
      </c>
    </row>
    <row r="15" spans="1:13">
      <c r="A15" s="122"/>
      <c r="B15" s="254"/>
      <c r="C15" s="303"/>
      <c r="D15" s="255"/>
      <c r="E15" s="261"/>
      <c r="F15" s="256">
        <f>$C15*$E15*VLOOKUP($D15,Metadata!$A$23:$C$123,3)</f>
        <v>0</v>
      </c>
      <c r="G15" s="256">
        <f>IF($D$6="","",$C15*$E15*VLOOKUP($D15+$G$6,Metadata!$A$23:$C$123,3))</f>
        <v>0</v>
      </c>
      <c r="H15" s="256">
        <f>IF($D$7="","",$C15*$E15*VLOOKUP($D15+$G$7,Metadata!$A$23:$C$123,3))</f>
        <v>0</v>
      </c>
      <c r="I15" s="256">
        <f>IF($D$8="","",$C15*$E15*VLOOKUP($D15+$G$8,Metadata!$A$23:$C$123,3))</f>
        <v>0</v>
      </c>
      <c r="J15" s="257">
        <f>IF($D$9="","",$C15*$E15*VLOOKUP($D15+$G$9,Metadata!$A$23:$C$123,3))</f>
        <v>0</v>
      </c>
    </row>
    <row r="16" spans="1:13">
      <c r="A16" s="122"/>
      <c r="B16" s="254"/>
      <c r="C16" s="303"/>
      <c r="D16" s="255"/>
      <c r="E16" s="261"/>
      <c r="F16" s="256">
        <f>$C16*$E16*VLOOKUP($D16,Metadata!$A$23:$C$123,3)</f>
        <v>0</v>
      </c>
      <c r="G16" s="256">
        <f>IF($D$6="","",$C16*$E16*VLOOKUP($D16+$G$6,Metadata!$A$23:$C$123,3))</f>
        <v>0</v>
      </c>
      <c r="H16" s="256">
        <f>IF($D$7="","",$C16*$E16*VLOOKUP($D16+$G$7,Metadata!$A$23:$C$123,3))</f>
        <v>0</v>
      </c>
      <c r="I16" s="256">
        <f>IF($D$8="","",$C16*$E16*VLOOKUP($D16+$G$8,Metadata!$A$23:$C$123,3))</f>
        <v>0</v>
      </c>
      <c r="J16" s="257">
        <f>IF($D$9="","",$C16*$E16*VLOOKUP($D16+$G$9,Metadata!$A$23:$C$123,3))</f>
        <v>0</v>
      </c>
    </row>
    <row r="17" spans="1:10">
      <c r="A17" s="122"/>
      <c r="B17" s="254"/>
      <c r="C17" s="303"/>
      <c r="D17" s="255"/>
      <c r="E17" s="261"/>
      <c r="F17" s="256">
        <f>$C17*$E17*VLOOKUP($D17,Metadata!$A$23:$C$123,3)</f>
        <v>0</v>
      </c>
      <c r="G17" s="256">
        <f>IF($D$6="","",$C17*$E17*VLOOKUP($D17+$G$6,Metadata!$A$23:$C$123,3))</f>
        <v>0</v>
      </c>
      <c r="H17" s="256">
        <f>IF($D$7="","",$C17*$E17*VLOOKUP($D17+$G$7,Metadata!$A$23:$C$123,3))</f>
        <v>0</v>
      </c>
      <c r="I17" s="256">
        <f>IF($D$8="","",$C17*$E17*VLOOKUP($D17+$G$8,Metadata!$A$23:$C$123,3))</f>
        <v>0</v>
      </c>
      <c r="J17" s="257">
        <f>IF($D$9="","",$C17*$E17*VLOOKUP($D17+$G$9,Metadata!$A$23:$C$123,3))</f>
        <v>0</v>
      </c>
    </row>
    <row r="18" spans="1:10">
      <c r="A18" s="122"/>
      <c r="B18" s="254"/>
      <c r="C18" s="303"/>
      <c r="D18" s="255"/>
      <c r="E18" s="261"/>
      <c r="F18" s="256">
        <f>$C18*$E18*VLOOKUP($D18,Metadata!$A$23:$C$123,3)</f>
        <v>0</v>
      </c>
      <c r="G18" s="256">
        <f>IF($D$6="","",$C18*$E18*VLOOKUP($D18+$G$6,Metadata!$A$23:$C$123,3))</f>
        <v>0</v>
      </c>
      <c r="H18" s="256">
        <f>IF($D$7="","",$C18*$E18*VLOOKUP($D18+$G$7,Metadata!$A$23:$C$123,3))</f>
        <v>0</v>
      </c>
      <c r="I18" s="256">
        <f>IF($D$8="","",$C18*$E18*VLOOKUP($D18+$G$8,Metadata!$A$23:$C$123,3))</f>
        <v>0</v>
      </c>
      <c r="J18" s="257">
        <f>IF($D$9="","",$C18*$E18*VLOOKUP($D18+$G$9,Metadata!$A$23:$C$123,3))</f>
        <v>0</v>
      </c>
    </row>
    <row r="19" spans="1:10">
      <c r="A19" s="122"/>
      <c r="B19" s="254"/>
      <c r="C19" s="303"/>
      <c r="D19" s="255"/>
      <c r="E19" s="261"/>
      <c r="F19" s="256">
        <f>$C19*$E19*VLOOKUP($D19,Metadata!$A$23:$C$123,3)</f>
        <v>0</v>
      </c>
      <c r="G19" s="256">
        <f>IF($D$6="","",$C19*$E19*VLOOKUP($D19+$G$6,Metadata!$A$23:$C$123,3))</f>
        <v>0</v>
      </c>
      <c r="H19" s="256">
        <f>IF($D$7="","",$C19*$E19*VLOOKUP($D19+$G$7,Metadata!$A$23:$C$123,3))</f>
        <v>0</v>
      </c>
      <c r="I19" s="256">
        <f>IF($D$8="","",$C19*$E19*VLOOKUP($D19+$G$8,Metadata!$A$23:$C$123,3))</f>
        <v>0</v>
      </c>
      <c r="J19" s="257">
        <f>IF($D$9="","",$C19*$E19*VLOOKUP($D19+$G$9,Metadata!$A$23:$C$123,3))</f>
        <v>0</v>
      </c>
    </row>
    <row r="20" spans="1:10">
      <c r="A20" s="122"/>
      <c r="B20" s="254"/>
      <c r="C20" s="303"/>
      <c r="D20" s="255"/>
      <c r="E20" s="261"/>
      <c r="F20" s="256">
        <f>$C20*$E20*VLOOKUP($D20,Metadata!$A$23:$C$123,3)</f>
        <v>0</v>
      </c>
      <c r="G20" s="256">
        <f>IF($D$6="","",$C20*$E20*VLOOKUP($D20+$G$6,Metadata!$A$23:$C$123,3))</f>
        <v>0</v>
      </c>
      <c r="H20" s="256">
        <f>IF($D$7="","",$C20*$E20*VLOOKUP($D20+$G$7,Metadata!$A$23:$C$123,3))</f>
        <v>0</v>
      </c>
      <c r="I20" s="256">
        <f>IF($D$8="","",$C20*$E20*VLOOKUP($D20+$G$8,Metadata!$A$23:$C$123,3))</f>
        <v>0</v>
      </c>
      <c r="J20" s="257">
        <f>IF($D$9="","",$C20*$E20*VLOOKUP($D20+$G$9,Metadata!$A$23:$C$123,3))</f>
        <v>0</v>
      </c>
    </row>
    <row r="21" spans="1:10">
      <c r="A21" s="122"/>
      <c r="B21" s="254"/>
      <c r="C21" s="303"/>
      <c r="D21" s="255"/>
      <c r="E21" s="261"/>
      <c r="F21" s="256">
        <f>$C21*$E21*VLOOKUP($D21,Metadata!$A$23:$C$123,3)</f>
        <v>0</v>
      </c>
      <c r="G21" s="256">
        <f>IF($D$6="","",$C21*$E21*VLOOKUP($D21+$G$6,Metadata!$A$23:$C$123,3))</f>
        <v>0</v>
      </c>
      <c r="H21" s="256">
        <f>IF($D$7="","",$C21*$E21*VLOOKUP($D21+$G$7,Metadata!$A$23:$C$123,3))</f>
        <v>0</v>
      </c>
      <c r="I21" s="256">
        <f>IF($D$8="","",$C21*$E21*VLOOKUP($D21+$G$8,Metadata!$A$23:$C$123,3))</f>
        <v>0</v>
      </c>
      <c r="J21" s="257">
        <f>IF($D$9="","",$C21*$E21*VLOOKUP($D21+$G$9,Metadata!$A$23:$C$123,3))</f>
        <v>0</v>
      </c>
    </row>
    <row r="22" spans="1:10">
      <c r="A22" s="122"/>
      <c r="B22" s="254"/>
      <c r="C22" s="303"/>
      <c r="D22" s="255"/>
      <c r="E22" s="261"/>
      <c r="F22" s="256">
        <f>$C22*$E22*VLOOKUP($D22,Metadata!$A$23:$C$123,3)</f>
        <v>0</v>
      </c>
      <c r="G22" s="256">
        <f>IF($D$6="","",$C22*$E22*VLOOKUP($D22+$G$6,Metadata!$A$23:$C$123,3))</f>
        <v>0</v>
      </c>
      <c r="H22" s="256">
        <f>IF($D$7="","",$C22*$E22*VLOOKUP($D22+$G$7,Metadata!$A$23:$C$123,3))</f>
        <v>0</v>
      </c>
      <c r="I22" s="256">
        <f>IF($D$8="","",$C22*$E22*VLOOKUP($D22+$G$8,Metadata!$A$23:$C$123,3))</f>
        <v>0</v>
      </c>
      <c r="J22" s="257">
        <f>IF($D$9="","",$C22*$E22*VLOOKUP($D22+$G$9,Metadata!$A$23:$C$123,3))</f>
        <v>0</v>
      </c>
    </row>
    <row r="23" spans="1:10">
      <c r="A23" s="122"/>
      <c r="B23" s="254"/>
      <c r="C23" s="303"/>
      <c r="D23" s="255"/>
      <c r="E23" s="261"/>
      <c r="F23" s="256">
        <f>$C23*$E23*VLOOKUP($D23,Metadata!$A$23:$C$123,3)</f>
        <v>0</v>
      </c>
      <c r="G23" s="256">
        <f>IF($D$6="","",$C23*$E23*VLOOKUP($D23+$G$6,Metadata!$A$23:$C$123,3))</f>
        <v>0</v>
      </c>
      <c r="H23" s="256">
        <f>IF($D$7="","",$C23*$E23*VLOOKUP($D23+$G$7,Metadata!$A$23:$C$123,3))</f>
        <v>0</v>
      </c>
      <c r="I23" s="256">
        <f>IF($D$8="","",$C23*$E23*VLOOKUP($D23+$G$8,Metadata!$A$23:$C$123,3))</f>
        <v>0</v>
      </c>
      <c r="J23" s="257">
        <f>IF($D$9="","",$C23*$E23*VLOOKUP($D23+$G$9,Metadata!$A$23:$C$123,3))</f>
        <v>0</v>
      </c>
    </row>
    <row r="24" spans="1:10">
      <c r="A24" s="122"/>
      <c r="B24" s="254"/>
      <c r="C24" s="303"/>
      <c r="D24" s="255"/>
      <c r="E24" s="261"/>
      <c r="F24" s="256">
        <f>$C24*$E24*VLOOKUP($D24,Metadata!$A$23:$C$123,3)</f>
        <v>0</v>
      </c>
      <c r="G24" s="256">
        <f>IF($D$6="","",$C24*$E24*VLOOKUP($D24+$G$6,Metadata!$A$23:$C$123,3))</f>
        <v>0</v>
      </c>
      <c r="H24" s="256">
        <f>IF($D$7="","",$C24*$E24*VLOOKUP($D24+$G$7,Metadata!$A$23:$C$123,3))</f>
        <v>0</v>
      </c>
      <c r="I24" s="256">
        <f>IF($D$8="","",$C24*$E24*VLOOKUP($D24+$G$8,Metadata!$A$23:$C$123,3))</f>
        <v>0</v>
      </c>
      <c r="J24" s="257">
        <f>IF($D$9="","",$C24*$E24*VLOOKUP($D24+$G$9,Metadata!$A$23:$C$123,3))</f>
        <v>0</v>
      </c>
    </row>
    <row r="25" spans="1:10">
      <c r="A25" s="122"/>
      <c r="B25" s="254"/>
      <c r="C25" s="303"/>
      <c r="D25" s="255"/>
      <c r="E25" s="261"/>
      <c r="F25" s="256">
        <f>$C25*$E25*VLOOKUP($D25,Metadata!$A$23:$C$123,3)</f>
        <v>0</v>
      </c>
      <c r="G25" s="256">
        <f>IF($D$6="","",$C25*$E25*VLOOKUP($D25+$G$6,Metadata!$A$23:$C$123,3))</f>
        <v>0</v>
      </c>
      <c r="H25" s="256">
        <f>IF($D$7="","",$C25*$E25*VLOOKUP($D25+$G$7,Metadata!$A$23:$C$123,3))</f>
        <v>0</v>
      </c>
      <c r="I25" s="256">
        <f>IF($D$8="","",$C25*$E25*VLOOKUP($D25+$G$8,Metadata!$A$23:$C$123,3))</f>
        <v>0</v>
      </c>
      <c r="J25" s="257">
        <f>IF($D$9="","",$C25*$E25*VLOOKUP($D25+$G$9,Metadata!$A$23:$C$123,3))</f>
        <v>0</v>
      </c>
    </row>
    <row r="26" spans="1:10">
      <c r="A26" s="122"/>
      <c r="B26" s="254"/>
      <c r="C26" s="303"/>
      <c r="D26" s="255"/>
      <c r="E26" s="261"/>
      <c r="F26" s="256">
        <f>$C26*$E26*VLOOKUP($D26,Metadata!$A$23:$C$123,3)</f>
        <v>0</v>
      </c>
      <c r="G26" s="256">
        <f>IF($D$6="","",$C26*$E26*VLOOKUP($D26+$G$6,Metadata!$A$23:$C$123,3))</f>
        <v>0</v>
      </c>
      <c r="H26" s="256">
        <f>IF($D$7="","",$C26*$E26*VLOOKUP($D26+$G$7,Metadata!$A$23:$C$123,3))</f>
        <v>0</v>
      </c>
      <c r="I26" s="256">
        <f>IF($D$8="","",$C26*$E26*VLOOKUP($D26+$G$8,Metadata!$A$23:$C$123,3))</f>
        <v>0</v>
      </c>
      <c r="J26" s="257">
        <f>IF($D$9="","",$C26*$E26*VLOOKUP($D26+$G$9,Metadata!$A$23:$C$123,3))</f>
        <v>0</v>
      </c>
    </row>
    <row r="27" spans="1:10">
      <c r="A27" s="122"/>
      <c r="B27" s="254"/>
      <c r="C27" s="303"/>
      <c r="D27" s="255"/>
      <c r="E27" s="261"/>
      <c r="F27" s="256">
        <f>$C27*$E27*VLOOKUP($D27,Metadata!$A$23:$C$123,3)</f>
        <v>0</v>
      </c>
      <c r="G27" s="256">
        <f>IF($D$6="","",$C27*$E27*VLOOKUP($D27+$G$6,Metadata!$A$23:$C$123,3))</f>
        <v>0</v>
      </c>
      <c r="H27" s="256">
        <f>IF($D$7="","",$C27*$E27*VLOOKUP($D27+$G$7,Metadata!$A$23:$C$123,3))</f>
        <v>0</v>
      </c>
      <c r="I27" s="256">
        <f>IF($D$8="","",$C27*$E27*VLOOKUP($D27+$G$8,Metadata!$A$23:$C$123,3))</f>
        <v>0</v>
      </c>
      <c r="J27" s="257">
        <f>IF($D$9="","",$C27*$E27*VLOOKUP($D27+$G$9,Metadata!$A$23:$C$123,3))</f>
        <v>0</v>
      </c>
    </row>
    <row r="28" spans="1:10">
      <c r="A28" s="122"/>
      <c r="B28" s="254"/>
      <c r="C28" s="303"/>
      <c r="D28" s="255"/>
      <c r="E28" s="262"/>
      <c r="F28" s="256">
        <f>$C28*$E28*VLOOKUP($D28,Metadata!$A$23:$C$123,3)</f>
        <v>0</v>
      </c>
      <c r="G28" s="256">
        <f>IF($D$6="","",$C28*$E28*VLOOKUP($D28+$G$6,Metadata!$A$23:$C$123,3))</f>
        <v>0</v>
      </c>
      <c r="H28" s="256">
        <f>IF($D$7="","",$C28*$E28*VLOOKUP($D28+$G$7,Metadata!$A$23:$C$123,3))</f>
        <v>0</v>
      </c>
      <c r="I28" s="256">
        <f>IF($D$8="","",$C28*$E28*VLOOKUP($D28+$G$8,Metadata!$A$23:$C$123,3))</f>
        <v>0</v>
      </c>
      <c r="J28" s="257">
        <f>IF($D$9="","",$C28*$E28*VLOOKUP($D28+$G$9,Metadata!$A$23:$C$123,3))</f>
        <v>0</v>
      </c>
    </row>
    <row r="29" spans="1:10">
      <c r="A29" s="122"/>
      <c r="B29" s="254"/>
      <c r="C29" s="303"/>
      <c r="D29" s="255"/>
      <c r="E29" s="261"/>
      <c r="F29" s="256">
        <f>$C29*$E29*VLOOKUP($D29,Metadata!$A$23:$C$123,3)</f>
        <v>0</v>
      </c>
      <c r="G29" s="256">
        <f>IF($D$6="","",$C29*$E29*VLOOKUP($D29+$G$6,Metadata!$A$23:$C$123,3))</f>
        <v>0</v>
      </c>
      <c r="H29" s="256">
        <f>IF($D$7="","",$C29*$E29*VLOOKUP($D29+$G$7,Metadata!$A$23:$C$123,3))</f>
        <v>0</v>
      </c>
      <c r="I29" s="256">
        <f>IF($D$8="","",$C29*$E29*VLOOKUP($D29+$G$8,Metadata!$A$23:$C$123,3))</f>
        <v>0</v>
      </c>
      <c r="J29" s="257">
        <f>IF($D$9="","",$C29*$E29*VLOOKUP($D29+$G$9,Metadata!$A$23:$C$123,3))</f>
        <v>0</v>
      </c>
    </row>
    <row r="30" spans="1:10">
      <c r="A30" s="122"/>
      <c r="B30" s="254"/>
      <c r="C30" s="303"/>
      <c r="D30" s="255"/>
      <c r="E30" s="262"/>
      <c r="F30" s="256">
        <f>$C30*$E30*VLOOKUP($D30,Metadata!$A$23:$C$123,3)</f>
        <v>0</v>
      </c>
      <c r="G30" s="256">
        <f>IF($D$6="","",$C30*$E30*VLOOKUP($D30+$G$6,Metadata!$A$23:$C$123,3))</f>
        <v>0</v>
      </c>
      <c r="H30" s="256">
        <f>IF($D$7="","",$C30*$E30*VLOOKUP($D30+$G$7,Metadata!$A$23:$C$123,3))</f>
        <v>0</v>
      </c>
      <c r="I30" s="256">
        <f>IF($D$8="","",$C30*$E30*VLOOKUP($D30+$G$8,Metadata!$A$23:$C$123,3))</f>
        <v>0</v>
      </c>
      <c r="J30" s="257">
        <f>IF($D$9="","",$C30*$E30*VLOOKUP($D30+$G$9,Metadata!$A$23:$C$123,3))</f>
        <v>0</v>
      </c>
    </row>
    <row r="31" spans="1:10">
      <c r="A31" s="122"/>
      <c r="B31" s="254"/>
      <c r="C31" s="303"/>
      <c r="D31" s="255"/>
      <c r="E31" s="262"/>
      <c r="F31" s="256">
        <f>$C31*$E31*VLOOKUP($D31,Metadata!$A$23:$C$123,3)</f>
        <v>0</v>
      </c>
      <c r="G31" s="256">
        <f>IF($D$6="","",$C31*$E31*VLOOKUP($D31+$G$6,Metadata!$A$23:$C$123,3))</f>
        <v>0</v>
      </c>
      <c r="H31" s="256">
        <f>IF($D$7="","",$C31*$E31*VLOOKUP($D31+$G$7,Metadata!$A$23:$C$123,3))</f>
        <v>0</v>
      </c>
      <c r="I31" s="256">
        <f>IF($D$8="","",$C31*$E31*VLOOKUP($D31+$G$8,Metadata!$A$23:$C$123,3))</f>
        <v>0</v>
      </c>
      <c r="J31" s="257">
        <f>IF($D$9="","",$C31*$E31*VLOOKUP($D31+$G$9,Metadata!$A$23:$C$123,3))</f>
        <v>0</v>
      </c>
    </row>
    <row r="32" spans="1:10">
      <c r="A32" s="122"/>
      <c r="B32" s="254"/>
      <c r="C32" s="303"/>
      <c r="D32" s="255"/>
      <c r="E32" s="261"/>
      <c r="F32" s="256">
        <f>$C32*$E32*VLOOKUP($D32,Metadata!$A$23:$C$123,3)</f>
        <v>0</v>
      </c>
      <c r="G32" s="256">
        <f>IF($D$6="","",$C32*$E32*VLOOKUP($D32+$G$6,Metadata!$A$23:$C$123,3))</f>
        <v>0</v>
      </c>
      <c r="H32" s="256">
        <f>IF($D$7="","",$C32*$E32*VLOOKUP($D32+$G$7,Metadata!$A$23:$C$123,3))</f>
        <v>0</v>
      </c>
      <c r="I32" s="256">
        <f>IF($D$8="","",$C32*$E32*VLOOKUP($D32+$G$8,Metadata!$A$23:$C$123,3))</f>
        <v>0</v>
      </c>
      <c r="J32" s="257">
        <f>IF($D$9="","",$C32*$E32*VLOOKUP($D32+$G$9,Metadata!$A$23:$C$123,3))</f>
        <v>0</v>
      </c>
    </row>
    <row r="33" spans="1:10">
      <c r="A33" s="122"/>
      <c r="B33" s="254"/>
      <c r="C33" s="303"/>
      <c r="D33" s="255"/>
      <c r="E33" s="261"/>
      <c r="F33" s="256">
        <f>$C33*$E33*VLOOKUP($D33,Metadata!$A$23:$C$123,3)</f>
        <v>0</v>
      </c>
      <c r="G33" s="256">
        <f>IF($D$6="","",$C33*$E33*VLOOKUP($D33+$G$6,Metadata!$A$23:$C$123,3))</f>
        <v>0</v>
      </c>
      <c r="H33" s="256">
        <f>IF($D$7="","",$C33*$E33*VLOOKUP($D33+$G$7,Metadata!$A$23:$C$123,3))</f>
        <v>0</v>
      </c>
      <c r="I33" s="256">
        <f>IF($D$8="","",$C33*$E33*VLOOKUP($D33+$G$8,Metadata!$A$23:$C$123,3))</f>
        <v>0</v>
      </c>
      <c r="J33" s="257">
        <f>IF($D$9="","",$C33*$E33*VLOOKUP($D33+$G$9,Metadata!$A$23:$C$123,3))</f>
        <v>0</v>
      </c>
    </row>
    <row r="34" spans="1:10">
      <c r="A34" s="122"/>
      <c r="B34" s="254"/>
      <c r="C34" s="303"/>
      <c r="D34" s="255"/>
      <c r="E34" s="261"/>
      <c r="F34" s="256">
        <f>$C34*$E34*VLOOKUP($D34,Metadata!$A$23:$C$123,3)</f>
        <v>0</v>
      </c>
      <c r="G34" s="256">
        <f>IF($D$6="","",$C34*$E34*VLOOKUP($D34+$G$6,Metadata!$A$23:$C$123,3))</f>
        <v>0</v>
      </c>
      <c r="H34" s="256">
        <f>IF($D$7="","",$C34*$E34*VLOOKUP($D34+$G$7,Metadata!$A$23:$C$123,3))</f>
        <v>0</v>
      </c>
      <c r="I34" s="256">
        <f>IF($D$8="","",$C34*$E34*VLOOKUP($D34+$G$8,Metadata!$A$23:$C$123,3))</f>
        <v>0</v>
      </c>
      <c r="J34" s="257">
        <f>IF($D$9="","",$C34*$E34*VLOOKUP($D34+$G$9,Metadata!$A$23:$C$123,3))</f>
        <v>0</v>
      </c>
    </row>
    <row r="35" spans="1:10">
      <c r="A35" s="122"/>
      <c r="B35" s="254"/>
      <c r="C35" s="303"/>
      <c r="D35" s="255"/>
      <c r="E35" s="261"/>
      <c r="F35" s="256">
        <f>$C35*$E35*VLOOKUP($D35,Metadata!$A$23:$C$123,3)</f>
        <v>0</v>
      </c>
      <c r="G35" s="256">
        <f>IF($D$6="","",$C35*$E35*VLOOKUP($D35+$G$6,Metadata!$A$23:$C$123,3))</f>
        <v>0</v>
      </c>
      <c r="H35" s="256">
        <f>IF($D$7="","",$C35*$E35*VLOOKUP($D35+$G$7,Metadata!$A$23:$C$123,3))</f>
        <v>0</v>
      </c>
      <c r="I35" s="256">
        <f>IF($D$8="","",$C35*$E35*VLOOKUP($D35+$G$8,Metadata!$A$23:$C$123,3))</f>
        <v>0</v>
      </c>
      <c r="J35" s="257">
        <f>IF($D$9="","",$C35*$E35*VLOOKUP($D35+$G$9,Metadata!$A$23:$C$123,3))</f>
        <v>0</v>
      </c>
    </row>
    <row r="36" spans="1:10">
      <c r="A36" s="122"/>
      <c r="B36" s="254"/>
      <c r="C36" s="303"/>
      <c r="D36" s="255"/>
      <c r="E36" s="261"/>
      <c r="F36" s="256">
        <f>$C36*$E36*VLOOKUP($D36,Metadata!$A$23:$C$123,3)</f>
        <v>0</v>
      </c>
      <c r="G36" s="256">
        <f>IF($D$6="","",$C36*$E36*VLOOKUP($D36+$G$6,Metadata!$A$23:$C$123,3))</f>
        <v>0</v>
      </c>
      <c r="H36" s="256">
        <f>IF($D$7="","",$C36*$E36*VLOOKUP($D36+$G$7,Metadata!$A$23:$C$123,3))</f>
        <v>0</v>
      </c>
      <c r="I36" s="256">
        <f>IF($D$8="","",$C36*$E36*VLOOKUP($D36+$G$8,Metadata!$A$23:$C$123,3))</f>
        <v>0</v>
      </c>
      <c r="J36" s="257">
        <f>IF($D$9="","",$C36*$E36*VLOOKUP($D36+$G$9,Metadata!$A$23:$C$123,3))</f>
        <v>0</v>
      </c>
    </row>
    <row r="37" spans="1:10">
      <c r="A37" s="122"/>
      <c r="B37" s="254"/>
      <c r="C37" s="303"/>
      <c r="D37" s="255"/>
      <c r="E37" s="261"/>
      <c r="F37" s="256">
        <f>$C37*$E37*VLOOKUP($D37,Metadata!$A$23:$C$123,3)</f>
        <v>0</v>
      </c>
      <c r="G37" s="256">
        <f>IF($D$6="","",$C37*$E37*VLOOKUP($D37+$G$6,Metadata!$A$23:$C$123,3))</f>
        <v>0</v>
      </c>
      <c r="H37" s="256">
        <f>IF($D$7="","",$C37*$E37*VLOOKUP($D37+$G$7,Metadata!$A$23:$C$123,3))</f>
        <v>0</v>
      </c>
      <c r="I37" s="256">
        <f>IF($D$8="","",$C37*$E37*VLOOKUP($D37+$G$8,Metadata!$A$23:$C$123,3))</f>
        <v>0</v>
      </c>
      <c r="J37" s="257">
        <f>IF($D$9="","",$C37*$E37*VLOOKUP($D37+$G$9,Metadata!$A$23:$C$123,3))</f>
        <v>0</v>
      </c>
    </row>
    <row r="38" spans="1:10">
      <c r="A38" s="122"/>
      <c r="B38" s="254"/>
      <c r="C38" s="303"/>
      <c r="D38" s="255"/>
      <c r="E38" s="261"/>
      <c r="F38" s="256">
        <f>$C38*$E38*VLOOKUP($D38,Metadata!$A$23:$C$123,3)</f>
        <v>0</v>
      </c>
      <c r="G38" s="256">
        <f>IF($D$6="","",$C38*$E38*VLOOKUP($D38+$G$6,Metadata!$A$23:$C$123,3))</f>
        <v>0</v>
      </c>
      <c r="H38" s="256">
        <f>IF($D$7="","",$C38*$E38*VLOOKUP($D38+$G$7,Metadata!$A$23:$C$123,3))</f>
        <v>0</v>
      </c>
      <c r="I38" s="256">
        <f>IF($D$8="","",$C38*$E38*VLOOKUP($D38+$G$8,Metadata!$A$23:$C$123,3))</f>
        <v>0</v>
      </c>
      <c r="J38" s="257">
        <f>IF($D$9="","",$C38*$E38*VLOOKUP($D38+$G$9,Metadata!$A$23:$C$123,3))</f>
        <v>0</v>
      </c>
    </row>
    <row r="39" spans="1:10">
      <c r="A39" s="122"/>
      <c r="B39" s="254"/>
      <c r="C39" s="303"/>
      <c r="D39" s="255"/>
      <c r="E39" s="261"/>
      <c r="F39" s="256">
        <f>$C39*$E39*VLOOKUP($D39,Metadata!$A$23:$C$123,3)</f>
        <v>0</v>
      </c>
      <c r="G39" s="256">
        <f>IF($D$6="","",$C39*$E39*VLOOKUP($D39+$G$6,Metadata!$A$23:$C$123,3))</f>
        <v>0</v>
      </c>
      <c r="H39" s="256">
        <f>IF($D$7="","",$C39*$E39*VLOOKUP($D39+$G$7,Metadata!$A$23:$C$123,3))</f>
        <v>0</v>
      </c>
      <c r="I39" s="256">
        <f>IF($D$8="","",$C39*$E39*VLOOKUP($D39+$G$8,Metadata!$A$23:$C$123,3))</f>
        <v>0</v>
      </c>
      <c r="J39" s="257">
        <f>IF($D$9="","",$C39*$E39*VLOOKUP($D39+$G$9,Metadata!$A$23:$C$123,3))</f>
        <v>0</v>
      </c>
    </row>
    <row r="40" spans="1:10">
      <c r="A40" s="122"/>
      <c r="B40" s="254"/>
      <c r="C40" s="303"/>
      <c r="D40" s="255"/>
      <c r="E40" s="261"/>
      <c r="F40" s="256">
        <f>$C40*$E40*VLOOKUP($D40,Metadata!$A$23:$C$123,3)</f>
        <v>0</v>
      </c>
      <c r="G40" s="256">
        <f>IF($D$6="","",$C40*$E40*VLOOKUP($D40+$G$6,Metadata!$A$23:$C$123,3))</f>
        <v>0</v>
      </c>
      <c r="H40" s="256">
        <f>IF($D$7="","",$C40*$E40*VLOOKUP($D40+$G$7,Metadata!$A$23:$C$123,3))</f>
        <v>0</v>
      </c>
      <c r="I40" s="256">
        <f>IF($D$8="","",$C40*$E40*VLOOKUP($D40+$G$8,Metadata!$A$23:$C$123,3))</f>
        <v>0</v>
      </c>
      <c r="J40" s="257">
        <f>IF($D$9="","",$C40*$E40*VLOOKUP($D40+$G$9,Metadata!$A$23:$C$123,3))</f>
        <v>0</v>
      </c>
    </row>
    <row r="41" spans="1:10">
      <c r="A41" s="122"/>
      <c r="B41" s="254"/>
      <c r="C41" s="303"/>
      <c r="D41" s="255"/>
      <c r="E41" s="261"/>
      <c r="F41" s="256">
        <f>$C41*$E41*VLOOKUP($D41,Metadata!$A$23:$C$123,3)</f>
        <v>0</v>
      </c>
      <c r="G41" s="256">
        <f>IF($D$6="","",$C41*$E41*VLOOKUP($D41+$G$6,Metadata!$A$23:$C$123,3))</f>
        <v>0</v>
      </c>
      <c r="H41" s="256">
        <f>IF($D$7="","",$C41*$E41*VLOOKUP($D41+$G$7,Metadata!$A$23:$C$123,3))</f>
        <v>0</v>
      </c>
      <c r="I41" s="256">
        <f>IF($D$8="","",$C41*$E41*VLOOKUP($D41+$G$8,Metadata!$A$23:$C$123,3))</f>
        <v>0</v>
      </c>
      <c r="J41" s="257">
        <f>IF($D$9="","",$C41*$E41*VLOOKUP($D41+$G$9,Metadata!$A$23:$C$123,3))</f>
        <v>0</v>
      </c>
    </row>
    <row r="42" spans="1:10">
      <c r="A42" s="122"/>
      <c r="B42" s="254"/>
      <c r="C42" s="303"/>
      <c r="D42" s="255"/>
      <c r="E42" s="261"/>
      <c r="F42" s="256">
        <f>$C42*$E42*VLOOKUP($D42,Metadata!$A$23:$C$123,3)</f>
        <v>0</v>
      </c>
      <c r="G42" s="256">
        <f>IF($D$6="","",$C42*$E42*VLOOKUP($D42+$G$6,Metadata!$A$23:$C$123,3))</f>
        <v>0</v>
      </c>
      <c r="H42" s="256">
        <f>IF($D$7="","",$C42*$E42*VLOOKUP($D42+$G$7,Metadata!$A$23:$C$123,3))</f>
        <v>0</v>
      </c>
      <c r="I42" s="256">
        <f>IF($D$8="","",$C42*$E42*VLOOKUP($D42+$G$8,Metadata!$A$23:$C$123,3))</f>
        <v>0</v>
      </c>
      <c r="J42" s="257">
        <f>IF($D$9="","",$C42*$E42*VLOOKUP($D42+$G$9,Metadata!$A$23:$C$123,3))</f>
        <v>0</v>
      </c>
    </row>
    <row r="43" spans="1:10">
      <c r="A43" s="122"/>
      <c r="B43" s="254"/>
      <c r="C43" s="303"/>
      <c r="D43" s="255"/>
      <c r="E43" s="261"/>
      <c r="F43" s="256">
        <f>$C43*$E43*VLOOKUP($D43,Metadata!$A$23:$C$123,3)</f>
        <v>0</v>
      </c>
      <c r="G43" s="256">
        <f>IF($D$6="","",$C43*$E43*VLOOKUP($D43+$G$6,Metadata!$A$23:$C$123,3))</f>
        <v>0</v>
      </c>
      <c r="H43" s="256">
        <f>IF($D$7="","",$C43*$E43*VLOOKUP($D43+$G$7,Metadata!$A$23:$C$123,3))</f>
        <v>0</v>
      </c>
      <c r="I43" s="256">
        <f>IF($D$8="","",$C43*$E43*VLOOKUP($D43+$G$8,Metadata!$A$23:$C$123,3))</f>
        <v>0</v>
      </c>
      <c r="J43" s="257">
        <f>IF($D$9="","",$C43*$E43*VLOOKUP($D43+$G$9,Metadata!$A$23:$C$123,3))</f>
        <v>0</v>
      </c>
    </row>
    <row r="44" spans="1:10">
      <c r="A44" s="122"/>
      <c r="B44" s="254"/>
      <c r="C44" s="303"/>
      <c r="D44" s="255"/>
      <c r="E44" s="261"/>
      <c r="F44" s="256">
        <f>$C44*$E44*VLOOKUP($D44,Metadata!$A$23:$C$123,3)</f>
        <v>0</v>
      </c>
      <c r="G44" s="256">
        <f>IF($D$6="","",$C44*$E44*VLOOKUP($D44+$G$6,Metadata!$A$23:$C$123,3))</f>
        <v>0</v>
      </c>
      <c r="H44" s="256">
        <f>IF($D$7="","",$C44*$E44*VLOOKUP($D44+$G$7,Metadata!$A$23:$C$123,3))</f>
        <v>0</v>
      </c>
      <c r="I44" s="256">
        <f>IF($D$8="","",$C44*$E44*VLOOKUP($D44+$G$8,Metadata!$A$23:$C$123,3))</f>
        <v>0</v>
      </c>
      <c r="J44" s="257">
        <f>IF($D$9="","",$C44*$E44*VLOOKUP($D44+$G$9,Metadata!$A$23:$C$123,3))</f>
        <v>0</v>
      </c>
    </row>
    <row r="45" spans="1:10">
      <c r="A45" s="122"/>
      <c r="B45" s="254"/>
      <c r="C45" s="303"/>
      <c r="D45" s="255"/>
      <c r="E45" s="261"/>
      <c r="F45" s="256">
        <f>$C45*$E45*VLOOKUP($D45,Metadata!$A$23:$C$123,3)</f>
        <v>0</v>
      </c>
      <c r="G45" s="256">
        <f>IF($D$6="","",$C45*$E45*VLOOKUP($D45+$G$6,Metadata!$A$23:$C$123,3))</f>
        <v>0</v>
      </c>
      <c r="H45" s="256">
        <f>IF($D$7="","",$C45*$E45*VLOOKUP($D45+$G$7,Metadata!$A$23:$C$123,3))</f>
        <v>0</v>
      </c>
      <c r="I45" s="256">
        <f>IF($D$8="","",$C45*$E45*VLOOKUP($D45+$G$8,Metadata!$A$23:$C$123,3))</f>
        <v>0</v>
      </c>
      <c r="J45" s="257">
        <f>IF($D$9="","",$C45*$E45*VLOOKUP($D45+$G$9,Metadata!$A$23:$C$123,3))</f>
        <v>0</v>
      </c>
    </row>
    <row r="46" spans="1:10">
      <c r="A46" s="122"/>
      <c r="B46" s="254"/>
      <c r="C46" s="303"/>
      <c r="D46" s="255"/>
      <c r="E46" s="261"/>
      <c r="F46" s="256">
        <f>$C46*$E46*VLOOKUP($D46,Metadata!$A$23:$C$123,3)</f>
        <v>0</v>
      </c>
      <c r="G46" s="256">
        <f>IF($D$6="","",$C46*$E46*VLOOKUP($D46+$G$6,Metadata!$A$23:$C$123,3))</f>
        <v>0</v>
      </c>
      <c r="H46" s="256">
        <f>IF($D$7="","",$C46*$E46*VLOOKUP($D46+$G$7,Metadata!$A$23:$C$123,3))</f>
        <v>0</v>
      </c>
      <c r="I46" s="256">
        <f>IF($D$8="","",$C46*$E46*VLOOKUP($D46+$G$8,Metadata!$A$23:$C$123,3))</f>
        <v>0</v>
      </c>
      <c r="J46" s="257">
        <f>IF($D$9="","",$C46*$E46*VLOOKUP($D46+$G$9,Metadata!$A$23:$C$123,3))</f>
        <v>0</v>
      </c>
    </row>
    <row r="47" spans="1:10">
      <c r="A47" s="122"/>
      <c r="B47" s="254"/>
      <c r="C47" s="303"/>
      <c r="D47" s="255"/>
      <c r="E47" s="261"/>
      <c r="F47" s="256">
        <f>$C47*$E47*VLOOKUP($D47,Metadata!$A$23:$C$123,3)</f>
        <v>0</v>
      </c>
      <c r="G47" s="256">
        <f>IF($D$6="","",$C47*$E47*VLOOKUP($D47+$G$6,Metadata!$A$23:$C$123,3))</f>
        <v>0</v>
      </c>
      <c r="H47" s="256">
        <f>IF($D$7="","",$C47*$E47*VLOOKUP($D47+$G$7,Metadata!$A$23:$C$123,3))</f>
        <v>0</v>
      </c>
      <c r="I47" s="256">
        <f>IF($D$8="","",$C47*$E47*VLOOKUP($D47+$G$8,Metadata!$A$23:$C$123,3))</f>
        <v>0</v>
      </c>
      <c r="J47" s="257">
        <f>IF($D$9="","",$C47*$E47*VLOOKUP($D47+$G$9,Metadata!$A$23:$C$123,3))</f>
        <v>0</v>
      </c>
    </row>
    <row r="48" spans="1:10">
      <c r="A48" s="122"/>
      <c r="B48" s="254"/>
      <c r="C48" s="303"/>
      <c r="D48" s="255"/>
      <c r="E48" s="261"/>
      <c r="F48" s="256">
        <f>$C48*$E48*VLOOKUP($D48,Metadata!$A$23:$C$123,3)</f>
        <v>0</v>
      </c>
      <c r="G48" s="256">
        <f>IF($D$6="","",$C48*$E48*VLOOKUP($D48+$G$6,Metadata!$A$23:$C$123,3))</f>
        <v>0</v>
      </c>
      <c r="H48" s="256">
        <f>IF($D$7="","",$C48*$E48*VLOOKUP($D48+$G$7,Metadata!$A$23:$C$123,3))</f>
        <v>0</v>
      </c>
      <c r="I48" s="256">
        <f>IF($D$8="","",$C48*$E48*VLOOKUP($D48+$G$8,Metadata!$A$23:$C$123,3))</f>
        <v>0</v>
      </c>
      <c r="J48" s="257">
        <f>IF($D$9="","",$C48*$E48*VLOOKUP($D48+$G$9,Metadata!$A$23:$C$123,3))</f>
        <v>0</v>
      </c>
    </row>
    <row r="49" spans="1:10">
      <c r="A49" s="122"/>
      <c r="B49" s="254"/>
      <c r="C49" s="303"/>
      <c r="D49" s="255"/>
      <c r="E49" s="261"/>
      <c r="F49" s="256">
        <f>$C49*$E49*VLOOKUP($D49,Metadata!$A$23:$C$123,3)</f>
        <v>0</v>
      </c>
      <c r="G49" s="256">
        <f>IF($D$6="","",$C49*$E49*VLOOKUP($D49+$G$6,Metadata!$A$23:$C$123,3))</f>
        <v>0</v>
      </c>
      <c r="H49" s="256">
        <f>IF($D$7="","",$C49*$E49*VLOOKUP($D49+$G$7,Metadata!$A$23:$C$123,3))</f>
        <v>0</v>
      </c>
      <c r="I49" s="256">
        <f>IF($D$8="","",$C49*$E49*VLOOKUP($D49+$G$8,Metadata!$A$23:$C$123,3))</f>
        <v>0</v>
      </c>
      <c r="J49" s="257">
        <f>IF($D$9="","",$C49*$E49*VLOOKUP($D49+$G$9,Metadata!$A$23:$C$123,3))</f>
        <v>0</v>
      </c>
    </row>
    <row r="50" spans="1:10">
      <c r="A50" s="122"/>
      <c r="B50" s="254"/>
      <c r="C50" s="303"/>
      <c r="D50" s="255"/>
      <c r="E50" s="261"/>
      <c r="F50" s="256">
        <f>$C50*$E50*VLOOKUP($D50,Metadata!$A$23:$C$123,3)</f>
        <v>0</v>
      </c>
      <c r="G50" s="256">
        <f>IF($D$6="","",$C50*$E50*VLOOKUP($D50+$G$6,Metadata!$A$23:$C$123,3))</f>
        <v>0</v>
      </c>
      <c r="H50" s="256">
        <f>IF($D$7="","",$C50*$E50*VLOOKUP($D50+$G$7,Metadata!$A$23:$C$123,3))</f>
        <v>0</v>
      </c>
      <c r="I50" s="256">
        <f>IF($D$8="","",$C50*$E50*VLOOKUP($D50+$G$8,Metadata!$A$23:$C$123,3))</f>
        <v>0</v>
      </c>
      <c r="J50" s="257">
        <f>IF($D$9="","",$C50*$E50*VLOOKUP($D50+$G$9,Metadata!$A$23:$C$123,3))</f>
        <v>0</v>
      </c>
    </row>
    <row r="51" spans="1:10">
      <c r="A51" s="122"/>
      <c r="B51" s="254"/>
      <c r="C51" s="303"/>
      <c r="D51" s="255"/>
      <c r="E51" s="261"/>
      <c r="F51" s="256">
        <f>$C51*$E51*VLOOKUP($D51,Metadata!$A$23:$C$123,3)</f>
        <v>0</v>
      </c>
      <c r="G51" s="256">
        <f>IF($D$6="","",$C51*$E51*VLOOKUP($D51+$G$6,Metadata!$A$23:$C$123,3))</f>
        <v>0</v>
      </c>
      <c r="H51" s="256">
        <f>IF($D$7="","",$C51*$E51*VLOOKUP($D51+$G$7,Metadata!$A$23:$C$123,3))</f>
        <v>0</v>
      </c>
      <c r="I51" s="256">
        <f>IF($D$8="","",$C51*$E51*VLOOKUP($D51+$G$8,Metadata!$A$23:$C$123,3))</f>
        <v>0</v>
      </c>
      <c r="J51" s="257">
        <f>IF($D$9="","",$C51*$E51*VLOOKUP($D51+$G$9,Metadata!$A$23:$C$123,3))</f>
        <v>0</v>
      </c>
    </row>
    <row r="52" spans="1:10">
      <c r="A52" s="122"/>
      <c r="B52" s="254"/>
      <c r="C52" s="303"/>
      <c r="D52" s="255"/>
      <c r="E52" s="261"/>
      <c r="F52" s="256">
        <f>$C52*$E52*VLOOKUP($D52,Metadata!$A$23:$C$123,3)</f>
        <v>0</v>
      </c>
      <c r="G52" s="256">
        <f>IF($D$6="","",$C52*$E52*VLOOKUP($D52+$G$6,Metadata!$A$23:$C$123,3))</f>
        <v>0</v>
      </c>
      <c r="H52" s="256">
        <f>IF($D$7="","",$C52*$E52*VLOOKUP($D52+$G$7,Metadata!$A$23:$C$123,3))</f>
        <v>0</v>
      </c>
      <c r="I52" s="256">
        <f>IF($D$8="","",$C52*$E52*VLOOKUP($D52+$G$8,Metadata!$A$23:$C$123,3))</f>
        <v>0</v>
      </c>
      <c r="J52" s="257">
        <f>IF($D$9="","",$C52*$E52*VLOOKUP($D52+$G$9,Metadata!$A$23:$C$123,3))</f>
        <v>0</v>
      </c>
    </row>
    <row r="53" spans="1:10">
      <c r="A53" s="122"/>
      <c r="B53" s="254"/>
      <c r="C53" s="303"/>
      <c r="D53" s="255"/>
      <c r="E53" s="261"/>
      <c r="F53" s="256">
        <f>$C53*$E53*VLOOKUP($D53,Metadata!$A$23:$C$123,3)</f>
        <v>0</v>
      </c>
      <c r="G53" s="256">
        <f>IF($D$6="","",$C53*$E53*VLOOKUP($D53+$G$6,Metadata!$A$23:$C$123,3))</f>
        <v>0</v>
      </c>
      <c r="H53" s="256">
        <f>IF($D$7="","",$C53*$E53*VLOOKUP($D53+$G$7,Metadata!$A$23:$C$123,3))</f>
        <v>0</v>
      </c>
      <c r="I53" s="256">
        <f>IF($D$8="","",$C53*$E53*VLOOKUP($D53+$G$8,Metadata!$A$23:$C$123,3))</f>
        <v>0</v>
      </c>
      <c r="J53" s="257">
        <f>IF($D$9="","",$C53*$E53*VLOOKUP($D53+$G$9,Metadata!$A$23:$C$123,3))</f>
        <v>0</v>
      </c>
    </row>
    <row r="54" spans="1:10">
      <c r="A54" s="122"/>
      <c r="B54" s="254"/>
      <c r="C54" s="303"/>
      <c r="D54" s="255"/>
      <c r="E54" s="261"/>
      <c r="F54" s="256">
        <f>$C54*$E54*VLOOKUP($D54,Metadata!$A$23:$C$123,3)</f>
        <v>0</v>
      </c>
      <c r="G54" s="256">
        <f>IF($D$6="","",$C54*$E54*VLOOKUP($D54+$G$6,Metadata!$A$23:$C$123,3))</f>
        <v>0</v>
      </c>
      <c r="H54" s="256">
        <f>IF($D$7="","",$C54*$E54*VLOOKUP($D54+$G$7,Metadata!$A$23:$C$123,3))</f>
        <v>0</v>
      </c>
      <c r="I54" s="256">
        <f>IF($D$8="","",$C54*$E54*VLOOKUP($D54+$G$8,Metadata!$A$23:$C$123,3))</f>
        <v>0</v>
      </c>
      <c r="J54" s="257">
        <f>IF($D$9="","",$C54*$E54*VLOOKUP($D54+$G$9,Metadata!$A$23:$C$123,3))</f>
        <v>0</v>
      </c>
    </row>
    <row r="55" spans="1:10">
      <c r="A55" s="122"/>
      <c r="B55" s="254"/>
      <c r="C55" s="303"/>
      <c r="D55" s="255"/>
      <c r="E55" s="261"/>
      <c r="F55" s="256">
        <f>$C55*$E55*VLOOKUP($D55,Metadata!$A$23:$C$123,3)</f>
        <v>0</v>
      </c>
      <c r="G55" s="256">
        <f>IF($D$6="","",$C55*$E55*VLOOKUP($D55+$G$6,Metadata!$A$23:$C$123,3))</f>
        <v>0</v>
      </c>
      <c r="H55" s="256">
        <f>IF($D$7="","",$C55*$E55*VLOOKUP($D55+$G$7,Metadata!$A$23:$C$123,3))</f>
        <v>0</v>
      </c>
      <c r="I55" s="256">
        <f>IF($D$8="","",$C55*$E55*VLOOKUP($D55+$G$8,Metadata!$A$23:$C$123,3))</f>
        <v>0</v>
      </c>
      <c r="J55" s="257">
        <f>IF($D$9="","",$C55*$E55*VLOOKUP($D55+$G$9,Metadata!$A$23:$C$123,3))</f>
        <v>0</v>
      </c>
    </row>
    <row r="56" spans="1:10">
      <c r="A56" s="122"/>
      <c r="B56" s="254"/>
      <c r="C56" s="303"/>
      <c r="D56" s="255"/>
      <c r="E56" s="261"/>
      <c r="F56" s="256">
        <f>$C56*$E56*VLOOKUP($D56,Metadata!$A$23:$C$123,3)</f>
        <v>0</v>
      </c>
      <c r="G56" s="256">
        <f>IF($D$6="","",$C56*$E56*VLOOKUP($D56+$G$6,Metadata!$A$23:$C$123,3))</f>
        <v>0</v>
      </c>
      <c r="H56" s="256">
        <f>IF($D$7="","",$C56*$E56*VLOOKUP($D56+$G$7,Metadata!$A$23:$C$123,3))</f>
        <v>0</v>
      </c>
      <c r="I56" s="256">
        <f>IF($D$8="","",$C56*$E56*VLOOKUP($D56+$G$8,Metadata!$A$23:$C$123,3))</f>
        <v>0</v>
      </c>
      <c r="J56" s="257">
        <f>IF($D$9="","",$C56*$E56*VLOOKUP($D56+$G$9,Metadata!$A$23:$C$123,3))</f>
        <v>0</v>
      </c>
    </row>
    <row r="57" spans="1:10">
      <c r="A57" s="122"/>
      <c r="B57" s="254"/>
      <c r="C57" s="303"/>
      <c r="D57" s="255"/>
      <c r="E57" s="261"/>
      <c r="F57" s="256">
        <f>$C57*$E57*VLOOKUP($D57,Metadata!$A$23:$C$123,3)</f>
        <v>0</v>
      </c>
      <c r="G57" s="256">
        <f>IF($D$6="","",$C57*$E57*VLOOKUP($D57+$G$6,Metadata!$A$23:$C$123,3))</f>
        <v>0</v>
      </c>
      <c r="H57" s="256">
        <f>IF($D$7="","",$C57*$E57*VLOOKUP($D57+$G$7,Metadata!$A$23:$C$123,3))</f>
        <v>0</v>
      </c>
      <c r="I57" s="256">
        <f>IF($D$8="","",$C57*$E57*VLOOKUP($D57+$G$8,Metadata!$A$23:$C$123,3))</f>
        <v>0</v>
      </c>
      <c r="J57" s="257">
        <f>IF($D$9="","",$C57*$E57*VLOOKUP($D57+$G$9,Metadata!$A$23:$C$123,3))</f>
        <v>0</v>
      </c>
    </row>
    <row r="58" spans="1:10">
      <c r="A58" s="122"/>
      <c r="B58" s="254"/>
      <c r="C58" s="303"/>
      <c r="D58" s="255"/>
      <c r="E58" s="261"/>
      <c r="F58" s="256">
        <f>$C58*$E58*VLOOKUP($D58,Metadata!$A$23:$C$123,3)</f>
        <v>0</v>
      </c>
      <c r="G58" s="256">
        <f>IF($D$6="","",$C58*$E58*VLOOKUP($D58+$G$6,Metadata!$A$23:$C$123,3))</f>
        <v>0</v>
      </c>
      <c r="H58" s="256">
        <f>IF($D$7="","",$C58*$E58*VLOOKUP($D58+$G$7,Metadata!$A$23:$C$123,3))</f>
        <v>0</v>
      </c>
      <c r="I58" s="256">
        <f>IF($D$8="","",$C58*$E58*VLOOKUP($D58+$G$8,Metadata!$A$23:$C$123,3))</f>
        <v>0</v>
      </c>
      <c r="J58" s="257">
        <f>IF($D$9="","",$C58*$E58*VLOOKUP($D58+$G$9,Metadata!$A$23:$C$123,3))</f>
        <v>0</v>
      </c>
    </row>
    <row r="59" spans="1:10">
      <c r="A59" s="122"/>
      <c r="B59" s="254"/>
      <c r="C59" s="303"/>
      <c r="D59" s="255"/>
      <c r="E59" s="261"/>
      <c r="F59" s="256">
        <f>$C59*$E59*VLOOKUP($D59,Metadata!$A$23:$C$123,3)</f>
        <v>0</v>
      </c>
      <c r="G59" s="256">
        <f>IF($D$6="","",$C59*$E59*VLOOKUP($D59+$G$6,Metadata!$A$23:$C$123,3))</f>
        <v>0</v>
      </c>
      <c r="H59" s="256">
        <f>IF($D$7="","",$C59*$E59*VLOOKUP($D59+$G$7,Metadata!$A$23:$C$123,3))</f>
        <v>0</v>
      </c>
      <c r="I59" s="256">
        <f>IF($D$8="","",$C59*$E59*VLOOKUP($D59+$G$8,Metadata!$A$23:$C$123,3))</f>
        <v>0</v>
      </c>
      <c r="J59" s="257">
        <f>IF($D$9="","",$C59*$E59*VLOOKUP($D59+$G$9,Metadata!$A$23:$C$123,3))</f>
        <v>0</v>
      </c>
    </row>
    <row r="60" spans="1:10">
      <c r="A60" s="122"/>
      <c r="B60" s="254"/>
      <c r="C60" s="303"/>
      <c r="D60" s="255"/>
      <c r="E60" s="261"/>
      <c r="F60" s="256">
        <f>$C60*$E60*VLOOKUP($D60,Metadata!$A$23:$C$123,3)</f>
        <v>0</v>
      </c>
      <c r="G60" s="256">
        <f>IF($D$6="","",$C60*$E60*VLOOKUP($D60+$G$6,Metadata!$A$23:$C$123,3))</f>
        <v>0</v>
      </c>
      <c r="H60" s="256">
        <f>IF($D$7="","",$C60*$E60*VLOOKUP($D60+$G$7,Metadata!$A$23:$C$123,3))</f>
        <v>0</v>
      </c>
      <c r="I60" s="256">
        <f>IF($D$8="","",$C60*$E60*VLOOKUP($D60+$G$8,Metadata!$A$23:$C$123,3))</f>
        <v>0</v>
      </c>
      <c r="J60" s="257">
        <f>IF($D$9="","",$C60*$E60*VLOOKUP($D60+$G$9,Metadata!$A$23:$C$123,3))</f>
        <v>0</v>
      </c>
    </row>
    <row r="61" spans="1:10">
      <c r="A61" s="122"/>
      <c r="B61" s="254"/>
      <c r="C61" s="303"/>
      <c r="D61" s="255"/>
      <c r="E61" s="261"/>
      <c r="F61" s="256">
        <f>$C61*$E61*VLOOKUP($D61,Metadata!$A$23:$C$123,3)</f>
        <v>0</v>
      </c>
      <c r="G61" s="256">
        <f>IF($D$6="","",$C61*$E61*VLOOKUP($D61+$G$6,Metadata!$A$23:$C$123,3))</f>
        <v>0</v>
      </c>
      <c r="H61" s="256">
        <f>IF($D$7="","",$C61*$E61*VLOOKUP($D61+$G$7,Metadata!$A$23:$C$123,3))</f>
        <v>0</v>
      </c>
      <c r="I61" s="256">
        <f>IF($D$8="","",$C61*$E61*VLOOKUP($D61+$G$8,Metadata!$A$23:$C$123,3))</f>
        <v>0</v>
      </c>
      <c r="J61" s="257">
        <f>IF($D$9="","",$C61*$E61*VLOOKUP($D61+$G$9,Metadata!$A$23:$C$123,3))</f>
        <v>0</v>
      </c>
    </row>
    <row r="62" spans="1:10">
      <c r="A62" s="122"/>
      <c r="B62" s="254"/>
      <c r="C62" s="303"/>
      <c r="D62" s="255"/>
      <c r="E62" s="261"/>
      <c r="F62" s="256">
        <f>$C62*$E62*VLOOKUP($D62,Metadata!$A$23:$C$123,3)</f>
        <v>0</v>
      </c>
      <c r="G62" s="256">
        <f>IF($D$6="","",$C62*$E62*VLOOKUP($D62+$G$6,Metadata!$A$23:$C$123,3))</f>
        <v>0</v>
      </c>
      <c r="H62" s="256">
        <f>IF($D$7="","",$C62*$E62*VLOOKUP($D62+$G$7,Metadata!$A$23:$C$123,3))</f>
        <v>0</v>
      </c>
      <c r="I62" s="256">
        <f>IF($D$8="","",$C62*$E62*VLOOKUP($D62+$G$8,Metadata!$A$23:$C$123,3))</f>
        <v>0</v>
      </c>
      <c r="J62" s="257">
        <f>IF($D$9="","",$C62*$E62*VLOOKUP($D62+$G$9,Metadata!$A$23:$C$123,3))</f>
        <v>0</v>
      </c>
    </row>
    <row r="63" spans="1:10">
      <c r="A63" s="20"/>
      <c r="B63" s="26"/>
      <c r="C63" s="258"/>
      <c r="D63" s="245"/>
      <c r="E63" s="245"/>
      <c r="F63" s="245"/>
      <c r="G63" s="245"/>
      <c r="H63" s="245"/>
      <c r="I63" s="245"/>
      <c r="J63" s="246"/>
    </row>
    <row r="64" spans="1:10" ht="13.5" thickBot="1">
      <c r="A64" s="21" t="s">
        <v>178</v>
      </c>
      <c r="B64" s="39"/>
      <c r="C64" s="304">
        <f t="array" ref="C64">SUM(IF($B$12:$B$62="",0,$C$12:$C$62))</f>
        <v>0</v>
      </c>
      <c r="D64" s="248"/>
      <c r="E64" s="248"/>
      <c r="F64" s="247">
        <f>SUM(F12:F63)</f>
        <v>0</v>
      </c>
      <c r="G64" s="259">
        <f>IF($D$5="","",SUM(G12:G63))</f>
        <v>0</v>
      </c>
      <c r="H64" s="259">
        <f>IF($D$6="","",SUM(H12:H63))</f>
        <v>0</v>
      </c>
      <c r="I64" s="259">
        <f>IF($D$7="","",SUM(I12:I63))</f>
        <v>0</v>
      </c>
      <c r="J64" s="260">
        <f>IF($D$8="","",SUM(J12:J63))</f>
        <v>0</v>
      </c>
    </row>
    <row r="65" spans="1:10">
      <c r="A65" s="221"/>
      <c r="B65" s="216"/>
      <c r="C65" s="26"/>
      <c r="D65" s="1"/>
      <c r="E65" s="1"/>
      <c r="F65" s="76"/>
      <c r="G65" s="76"/>
      <c r="H65" s="76"/>
      <c r="I65" s="76"/>
      <c r="J65" s="9"/>
    </row>
    <row r="66" spans="1:10">
      <c r="A66" s="221" t="s">
        <v>122</v>
      </c>
      <c r="B66" s="216"/>
      <c r="C66" s="26"/>
      <c r="D66" s="1"/>
      <c r="E66" s="1"/>
      <c r="F66" s="76"/>
      <c r="G66" s="76"/>
      <c r="H66" s="76"/>
      <c r="I66" s="76"/>
      <c r="J66" s="9"/>
    </row>
    <row r="67" spans="1:10">
      <c r="A67" s="221" t="s">
        <v>179</v>
      </c>
      <c r="B67" s="216"/>
      <c r="C67" s="26"/>
      <c r="D67" s="1"/>
      <c r="E67" s="1"/>
      <c r="F67" s="1"/>
      <c r="G67" s="1"/>
      <c r="H67" s="1"/>
      <c r="I67" s="1"/>
      <c r="J67" s="9"/>
    </row>
    <row r="68" spans="1:10">
      <c r="A68" s="221" t="s">
        <v>180</v>
      </c>
      <c r="B68" s="216"/>
      <c r="C68" s="26"/>
      <c r="D68" s="1"/>
      <c r="E68" s="1"/>
      <c r="F68" s="1"/>
      <c r="G68" s="1"/>
      <c r="H68" s="1"/>
      <c r="I68" s="1"/>
      <c r="J68" s="9"/>
    </row>
    <row r="69" spans="1:10">
      <c r="A69" s="221" t="s">
        <v>181</v>
      </c>
      <c r="B69" s="216"/>
      <c r="C69" s="26"/>
      <c r="D69" s="1"/>
      <c r="E69" s="1"/>
      <c r="F69" s="1"/>
      <c r="G69" s="1"/>
      <c r="H69" s="1"/>
      <c r="I69" s="1"/>
      <c r="J69" s="9"/>
    </row>
    <row r="70" spans="1:10">
      <c r="A70" s="221" t="s">
        <v>182</v>
      </c>
      <c r="B70" s="216"/>
      <c r="C70" s="26"/>
      <c r="D70" s="1"/>
      <c r="E70" s="1"/>
      <c r="F70" s="1"/>
      <c r="G70" s="1"/>
      <c r="H70" s="1"/>
      <c r="I70" s="1"/>
      <c r="J70" s="9"/>
    </row>
    <row r="71" spans="1:10">
      <c r="A71" s="221" t="s">
        <v>183</v>
      </c>
      <c r="B71" s="216"/>
      <c r="C71" s="26"/>
      <c r="D71" s="1"/>
      <c r="E71" s="1"/>
      <c r="F71" s="1"/>
      <c r="G71" s="1"/>
      <c r="H71" s="1"/>
      <c r="I71" s="1"/>
      <c r="J71" s="9"/>
    </row>
    <row r="72" spans="1:10">
      <c r="A72" s="221" t="s">
        <v>184</v>
      </c>
      <c r="B72" s="216"/>
      <c r="C72" s="26"/>
      <c r="D72" s="1"/>
      <c r="E72" s="1"/>
      <c r="F72" s="1"/>
      <c r="G72" s="1"/>
      <c r="H72" s="1"/>
      <c r="I72" s="1"/>
      <c r="J72" s="9"/>
    </row>
    <row r="73" spans="1:10">
      <c r="A73" s="221" t="s">
        <v>185</v>
      </c>
      <c r="B73" s="216"/>
      <c r="C73" s="26"/>
      <c r="D73" s="1"/>
      <c r="E73" s="1"/>
      <c r="F73" s="1"/>
      <c r="G73" s="1"/>
      <c r="H73" s="1"/>
      <c r="I73" s="1"/>
      <c r="J73" s="9"/>
    </row>
    <row r="74" spans="1:10">
      <c r="A74" s="221" t="s">
        <v>186</v>
      </c>
      <c r="B74" s="216"/>
      <c r="C74" s="26"/>
      <c r="D74" s="1"/>
      <c r="E74" s="1"/>
      <c r="F74" s="1"/>
      <c r="G74" s="1"/>
      <c r="H74" s="1"/>
      <c r="I74" s="1"/>
      <c r="J74" s="9"/>
    </row>
    <row r="75" spans="1:10" ht="13.5" thickBot="1">
      <c r="A75" s="21"/>
      <c r="B75" s="39"/>
      <c r="C75" s="39"/>
      <c r="D75" s="5"/>
      <c r="E75" s="5"/>
      <c r="F75" s="5"/>
      <c r="G75" s="5"/>
      <c r="H75" s="5"/>
      <c r="I75" s="5"/>
      <c r="J75" s="13"/>
    </row>
  </sheetData>
  <mergeCells count="2">
    <mergeCell ref="D10:D11"/>
    <mergeCell ref="E10:E11"/>
  </mergeCells>
  <phoneticPr fontId="11" type="noConversion"/>
  <pageMargins left="0.75" right="0.75" top="1" bottom="1" header="0.5" footer="0.5"/>
  <pageSetup scale="66" orientation="portrait" horizontalDpi="300" verticalDpi="300" r:id="rId1"/>
  <headerFooter alignWithMargins="0">
    <oddHeader>&amp;LFCDPAG3&amp;C&amp;A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U116"/>
  <sheetViews>
    <sheetView zoomScaleNormal="100" workbookViewId="0">
      <selection activeCell="AG10" sqref="AG10"/>
    </sheetView>
  </sheetViews>
  <sheetFormatPr defaultRowHeight="12.75"/>
  <cols>
    <col min="1" max="1" width="4.5703125" customWidth="1"/>
    <col min="2" max="29" width="10.7109375" customWidth="1"/>
    <col min="30" max="30" width="12.140625" customWidth="1"/>
    <col min="31" max="33" width="10.7109375" customWidth="1"/>
    <col min="34" max="36" width="13.42578125" customWidth="1"/>
    <col min="37" max="38" width="10.7109375" customWidth="1"/>
    <col min="42" max="42" width="10.7109375" customWidth="1"/>
    <col min="43" max="45" width="12" customWidth="1"/>
    <col min="46" max="47" width="10.7109375" customWidth="1"/>
  </cols>
  <sheetData>
    <row r="1" spans="1:47" ht="18">
      <c r="A1" s="6"/>
      <c r="B1" s="2"/>
      <c r="C1" s="23"/>
      <c r="D1" s="23"/>
      <c r="E1" s="2"/>
      <c r="F1" s="2"/>
      <c r="G1" s="2"/>
      <c r="H1" s="2"/>
      <c r="I1" s="2"/>
      <c r="J1" s="2"/>
      <c r="K1" s="2"/>
      <c r="L1" s="2"/>
      <c r="M1" s="2"/>
      <c r="N1" s="62" t="s">
        <v>187</v>
      </c>
      <c r="O1" s="2"/>
      <c r="P1" s="2"/>
      <c r="Q1" s="2"/>
      <c r="R1" s="2"/>
      <c r="S1" s="2"/>
      <c r="T1" s="2"/>
      <c r="U1" s="2"/>
      <c r="V1" s="2"/>
      <c r="W1" s="2"/>
      <c r="X1" s="2"/>
      <c r="Y1" s="2"/>
      <c r="Z1" s="2"/>
      <c r="AA1" s="2"/>
      <c r="AB1" s="2"/>
      <c r="AC1" s="2"/>
      <c r="AD1" s="2"/>
      <c r="AE1" s="75" t="s">
        <v>92</v>
      </c>
      <c r="AF1" s="82"/>
      <c r="AG1" s="2"/>
      <c r="AH1" s="2"/>
      <c r="AI1" s="2"/>
      <c r="AJ1" s="2"/>
      <c r="AK1" s="2"/>
      <c r="AL1" s="2"/>
      <c r="AM1" s="1"/>
      <c r="AN1" s="1"/>
      <c r="AO1" s="1"/>
      <c r="AP1" s="2"/>
      <c r="AQ1" s="1"/>
      <c r="AR1" s="1"/>
      <c r="AS1" s="1"/>
      <c r="AT1" s="1"/>
      <c r="AU1" s="9"/>
    </row>
    <row r="2" spans="1:47">
      <c r="A2" s="20" t="s">
        <v>42</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9"/>
    </row>
    <row r="3" spans="1:47" ht="13.5" thickBot="1">
      <c r="A3" s="406">
        <f>Summary!A3</f>
        <v>0</v>
      </c>
      <c r="B3" s="407"/>
      <c r="C3" s="407"/>
      <c r="D3" s="407"/>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9"/>
    </row>
    <row r="4" spans="1:47" ht="15">
      <c r="A4" s="20" t="s">
        <v>45</v>
      </c>
      <c r="B4" s="1"/>
      <c r="C4" s="1"/>
      <c r="D4" s="1"/>
      <c r="E4" s="1"/>
      <c r="F4" s="1"/>
      <c r="G4" s="1"/>
      <c r="H4" s="1"/>
      <c r="I4" s="1"/>
      <c r="J4" s="1"/>
      <c r="K4" s="1"/>
      <c r="L4" s="388" t="str">
        <f>CONCATENATE("Results ",D8)</f>
        <v>Results £k</v>
      </c>
      <c r="M4" s="17"/>
      <c r="N4" s="17"/>
      <c r="O4" s="17"/>
      <c r="P4" s="17"/>
      <c r="Q4" s="17"/>
      <c r="R4" s="17"/>
      <c r="S4" s="17"/>
      <c r="T4" s="17"/>
      <c r="U4" s="17"/>
      <c r="V4" s="17"/>
      <c r="W4" s="17"/>
      <c r="X4" s="17"/>
      <c r="Y4" s="17"/>
      <c r="Z4" s="17"/>
      <c r="AA4" s="17"/>
      <c r="AB4" s="17"/>
      <c r="AC4" s="17"/>
      <c r="AD4" s="8"/>
      <c r="AE4" s="1" t="s">
        <v>43</v>
      </c>
      <c r="AF4" s="1"/>
      <c r="AG4" s="1"/>
      <c r="AH4" s="72">
        <f>Summary!F2</f>
        <v>44562</v>
      </c>
      <c r="AI4" s="182"/>
      <c r="AJ4" s="182"/>
      <c r="AK4" s="1"/>
      <c r="AL4" s="24"/>
      <c r="AM4" s="1"/>
      <c r="AN4" s="1"/>
      <c r="AO4" s="1"/>
      <c r="AP4" s="1"/>
      <c r="AQ4" s="1"/>
      <c r="AR4" s="1"/>
      <c r="AS4" s="1"/>
      <c r="AT4" s="1"/>
      <c r="AU4" s="189"/>
    </row>
    <row r="5" spans="1:47">
      <c r="A5" s="406">
        <f>Summary!A5</f>
        <v>0</v>
      </c>
      <c r="B5" s="407"/>
      <c r="C5" s="407"/>
      <c r="D5" s="407"/>
      <c r="E5" s="1"/>
      <c r="F5" s="1"/>
      <c r="G5" s="77"/>
      <c r="H5" s="77"/>
      <c r="I5" s="77"/>
      <c r="J5" s="77"/>
      <c r="K5" s="77"/>
      <c r="L5" s="12"/>
      <c r="M5" s="15"/>
      <c r="N5" s="1"/>
      <c r="O5" s="1"/>
      <c r="P5" s="1"/>
      <c r="Q5" s="1"/>
      <c r="R5" s="1"/>
      <c r="S5" s="1"/>
      <c r="T5" s="1"/>
      <c r="U5" s="1"/>
      <c r="V5" s="1"/>
      <c r="W5" s="1"/>
      <c r="X5" s="1"/>
      <c r="Y5" s="1"/>
      <c r="Z5" s="1"/>
      <c r="AA5" s="1"/>
      <c r="AB5" s="1"/>
      <c r="AC5" s="1"/>
      <c r="AD5" s="9"/>
      <c r="AE5" s="1" t="s">
        <v>44</v>
      </c>
      <c r="AF5" s="1"/>
      <c r="AG5" s="1"/>
      <c r="AH5" s="72">
        <f ca="1">Summary!F3</f>
        <v>44692</v>
      </c>
      <c r="AI5" s="182"/>
      <c r="AJ5" s="182"/>
      <c r="AK5" s="1"/>
      <c r="AL5" s="1"/>
      <c r="AM5" s="1"/>
      <c r="AN5" s="1"/>
      <c r="AO5" s="1"/>
      <c r="AP5" s="1"/>
      <c r="AQ5" s="1"/>
      <c r="AR5" s="1"/>
      <c r="AS5" s="1"/>
      <c r="AT5" s="1"/>
      <c r="AU5" s="9"/>
    </row>
    <row r="6" spans="1:47">
      <c r="A6" s="20" t="s">
        <v>48</v>
      </c>
      <c r="B6" s="1"/>
      <c r="C6" s="74"/>
      <c r="D6" s="64">
        <f>Summary!C6</f>
        <v>0</v>
      </c>
      <c r="E6" s="1"/>
      <c r="F6" s="1"/>
      <c r="G6" s="1"/>
      <c r="H6" s="1"/>
      <c r="I6" s="1"/>
      <c r="J6" s="1"/>
      <c r="K6" s="1"/>
      <c r="L6" s="12"/>
      <c r="M6" s="15"/>
      <c r="N6" s="26"/>
      <c r="O6" s="26"/>
      <c r="P6" s="26"/>
      <c r="Q6" s="24"/>
      <c r="R6" s="24"/>
      <c r="S6" s="1"/>
      <c r="T6" s="26"/>
      <c r="U6" s="26"/>
      <c r="V6" s="26"/>
      <c r="W6" s="26"/>
      <c r="X6" s="26"/>
      <c r="Y6" s="26"/>
      <c r="Z6" s="26"/>
      <c r="AA6" s="26"/>
      <c r="AB6" s="26"/>
      <c r="AC6" s="26"/>
      <c r="AD6" s="9"/>
      <c r="AE6" s="216" t="s">
        <v>46</v>
      </c>
      <c r="AF6" s="1"/>
      <c r="AG6" s="24"/>
      <c r="AH6" s="59">
        <f>Summary!F4</f>
        <v>0</v>
      </c>
      <c r="AI6" s="182"/>
      <c r="AJ6" s="182"/>
      <c r="AK6" s="1"/>
      <c r="AL6" s="24"/>
      <c r="AM6" s="1"/>
      <c r="AN6" s="1"/>
      <c r="AO6" s="1"/>
      <c r="AP6" s="24"/>
      <c r="AQ6" s="1"/>
      <c r="AR6" s="1"/>
      <c r="AS6" s="1"/>
      <c r="AT6" s="1"/>
      <c r="AU6" s="189"/>
    </row>
    <row r="7" spans="1:47">
      <c r="A7" s="3" t="s">
        <v>50</v>
      </c>
      <c r="B7" s="1"/>
      <c r="C7" s="1"/>
      <c r="D7" s="70">
        <f>Summary!C7</f>
        <v>44562</v>
      </c>
      <c r="E7" s="1"/>
      <c r="F7" s="1"/>
      <c r="G7" s="1"/>
      <c r="H7" s="1"/>
      <c r="I7" s="1"/>
      <c r="J7" s="1"/>
      <c r="K7" s="1"/>
      <c r="L7" s="12"/>
      <c r="M7" s="15"/>
      <c r="N7" s="26" t="str">
        <f>$D$10</f>
        <v>Do Nothing</v>
      </c>
      <c r="O7" s="26"/>
      <c r="P7" s="26" t="str">
        <f>$M$10</f>
        <v>Do Minimum</v>
      </c>
      <c r="Q7" s="24"/>
      <c r="R7" s="26" t="str">
        <f>$V$10</f>
        <v>Option 3</v>
      </c>
      <c r="S7" s="1"/>
      <c r="T7" s="26" t="str">
        <f>$AE$10</f>
        <v>Option 4</v>
      </c>
      <c r="U7" s="26"/>
      <c r="V7" s="26" t="str">
        <f>AN10</f>
        <v>Option 5</v>
      </c>
      <c r="W7" s="26"/>
      <c r="X7" s="26"/>
      <c r="Y7" s="26"/>
      <c r="Z7" s="26"/>
      <c r="AA7" s="26"/>
      <c r="AB7" s="26"/>
      <c r="AC7" s="26"/>
      <c r="AD7" s="9"/>
      <c r="AE7" s="216" t="s">
        <v>47</v>
      </c>
      <c r="AF7" s="1"/>
      <c r="AG7" s="24"/>
      <c r="AH7" s="59">
        <f>Summary!F5</f>
        <v>0</v>
      </c>
      <c r="AI7" s="182"/>
      <c r="AJ7" s="182"/>
      <c r="AK7" s="1"/>
      <c r="AL7" s="24"/>
      <c r="AM7" s="1"/>
      <c r="AN7" s="1"/>
      <c r="AO7" s="1"/>
      <c r="AP7" s="24"/>
      <c r="AQ7" s="1"/>
      <c r="AR7" s="1"/>
      <c r="AS7" s="1"/>
      <c r="AT7" s="1"/>
      <c r="AU7" s="189"/>
    </row>
    <row r="8" spans="1:47">
      <c r="A8" s="3" t="s">
        <v>52</v>
      </c>
      <c r="B8" s="1"/>
      <c r="C8" s="1"/>
      <c r="D8" s="64" t="str">
        <f>Summary!C8</f>
        <v>£k</v>
      </c>
      <c r="E8" s="1"/>
      <c r="F8" s="1"/>
      <c r="G8" s="1"/>
      <c r="H8" s="1"/>
      <c r="I8" s="1"/>
      <c r="J8" s="1"/>
      <c r="K8" s="1"/>
      <c r="L8" s="20" t="s">
        <v>188</v>
      </c>
      <c r="M8" s="15"/>
      <c r="N8" s="202">
        <f>SUM(H12:K12)</f>
        <v>0</v>
      </c>
      <c r="O8" s="26"/>
      <c r="P8" s="202">
        <f>SUM(Q12:T12)</f>
        <v>0</v>
      </c>
      <c r="Q8" s="180"/>
      <c r="R8" s="202">
        <f>SUM(Z12:AC12)</f>
        <v>0</v>
      </c>
      <c r="S8" s="1"/>
      <c r="T8" s="202">
        <f>SUM(AI12:AL12)</f>
        <v>0</v>
      </c>
      <c r="U8" s="26"/>
      <c r="V8" s="202">
        <f>SUM(AR12:AU12)</f>
        <v>0</v>
      </c>
      <c r="W8" s="26"/>
      <c r="X8" s="26"/>
      <c r="Y8" s="26"/>
      <c r="Z8" s="26"/>
      <c r="AA8" s="26"/>
      <c r="AB8" s="26"/>
      <c r="AC8" s="26"/>
      <c r="AD8" s="9"/>
      <c r="AE8" s="216" t="s">
        <v>49</v>
      </c>
      <c r="AF8" s="1"/>
      <c r="AG8" s="180"/>
      <c r="AH8" s="59">
        <f>Summary!F6</f>
        <v>0</v>
      </c>
      <c r="AI8" s="182"/>
      <c r="AJ8" s="182"/>
      <c r="AK8" s="1"/>
      <c r="AL8" s="180"/>
      <c r="AM8" s="1"/>
      <c r="AN8" s="1"/>
      <c r="AO8" s="1"/>
      <c r="AP8" s="180"/>
      <c r="AQ8" s="1"/>
      <c r="AR8" s="1"/>
      <c r="AS8" s="1"/>
      <c r="AT8" s="1"/>
      <c r="AU8" s="190"/>
    </row>
    <row r="9" spans="1:47" ht="13.5" thickBot="1">
      <c r="A9" s="221" t="s">
        <v>189</v>
      </c>
      <c r="B9" s="15"/>
      <c r="C9" s="15"/>
      <c r="D9" s="83">
        <f>Metadata!B23</f>
        <v>3.5000000000000003E-2</v>
      </c>
      <c r="E9" s="14"/>
      <c r="F9" s="14"/>
      <c r="G9" s="1"/>
      <c r="H9" s="1"/>
      <c r="I9" s="1"/>
      <c r="J9" s="1"/>
      <c r="K9" s="1"/>
      <c r="L9" s="21"/>
      <c r="M9" s="11"/>
      <c r="N9" s="5"/>
      <c r="O9" s="5"/>
      <c r="P9" s="5"/>
      <c r="Q9" s="5"/>
      <c r="R9" s="5"/>
      <c r="S9" s="379"/>
      <c r="T9" s="379"/>
      <c r="U9" s="5"/>
      <c r="V9" s="379"/>
      <c r="W9" s="5"/>
      <c r="X9" s="5"/>
      <c r="Y9" s="379"/>
      <c r="Z9" s="379"/>
      <c r="AA9" s="379"/>
      <c r="AB9" s="5"/>
      <c r="AC9" s="5"/>
      <c r="AD9" s="13"/>
      <c r="AE9" s="1"/>
      <c r="AF9" s="1"/>
      <c r="AG9" s="5"/>
      <c r="AH9" s="1"/>
      <c r="AI9" s="1"/>
      <c r="AJ9" s="1"/>
      <c r="AK9" s="5"/>
      <c r="AL9" s="5"/>
      <c r="AM9" s="5"/>
      <c r="AN9" s="5"/>
      <c r="AO9" s="5"/>
      <c r="AP9" s="5"/>
      <c r="AQ9" s="5"/>
      <c r="AR9" s="5"/>
      <c r="AS9" s="5"/>
      <c r="AT9" s="5"/>
      <c r="AU9" s="9"/>
    </row>
    <row r="10" spans="1:47">
      <c r="A10" s="3"/>
      <c r="B10" s="1"/>
      <c r="C10" s="6"/>
      <c r="D10" s="172" t="str">
        <f>Summary!A47</f>
        <v>Do Nothing</v>
      </c>
      <c r="E10" s="172"/>
      <c r="F10" s="172"/>
      <c r="G10" s="67" t="s">
        <v>190</v>
      </c>
      <c r="H10" s="75" t="s">
        <v>148</v>
      </c>
      <c r="I10" s="75" t="s">
        <v>148</v>
      </c>
      <c r="J10" s="75" t="s">
        <v>148</v>
      </c>
      <c r="K10" s="179" t="s">
        <v>148</v>
      </c>
      <c r="L10" s="2"/>
      <c r="M10" s="172" t="str">
        <f>Summary!A48</f>
        <v>Do Minimum</v>
      </c>
      <c r="N10" s="172"/>
      <c r="O10" s="172"/>
      <c r="P10" s="67" t="s">
        <v>190</v>
      </c>
      <c r="Q10" s="75" t="s">
        <v>148</v>
      </c>
      <c r="R10" s="75" t="s">
        <v>148</v>
      </c>
      <c r="S10" s="75" t="s">
        <v>148</v>
      </c>
      <c r="T10" s="179" t="s">
        <v>148</v>
      </c>
      <c r="U10" s="6"/>
      <c r="V10" s="172" t="str">
        <f>Summary!A49</f>
        <v>Option 3</v>
      </c>
      <c r="W10" s="172"/>
      <c r="X10" s="172"/>
      <c r="Y10" s="67" t="s">
        <v>190</v>
      </c>
      <c r="Z10" s="75" t="s">
        <v>148</v>
      </c>
      <c r="AA10" s="75" t="s">
        <v>148</v>
      </c>
      <c r="AB10" s="75" t="s">
        <v>148</v>
      </c>
      <c r="AC10" s="179" t="s">
        <v>148</v>
      </c>
      <c r="AD10" s="6"/>
      <c r="AE10" s="172" t="str">
        <f>Summary!A50</f>
        <v>Option 4</v>
      </c>
      <c r="AF10" s="172"/>
      <c r="AG10" s="172"/>
      <c r="AH10" s="67" t="s">
        <v>190</v>
      </c>
      <c r="AI10" s="75" t="s">
        <v>148</v>
      </c>
      <c r="AJ10" s="75" t="s">
        <v>148</v>
      </c>
      <c r="AK10" s="75" t="s">
        <v>148</v>
      </c>
      <c r="AL10" s="179" t="s">
        <v>148</v>
      </c>
      <c r="AM10" s="6"/>
      <c r="AN10" s="172" t="str">
        <f>Summary!A51</f>
        <v>Option 5</v>
      </c>
      <c r="AO10" s="172"/>
      <c r="AP10" s="172"/>
      <c r="AQ10" s="67" t="s">
        <v>190</v>
      </c>
      <c r="AR10" s="75" t="s">
        <v>148</v>
      </c>
      <c r="AS10" s="75" t="s">
        <v>148</v>
      </c>
      <c r="AT10" s="75" t="s">
        <v>148</v>
      </c>
      <c r="AU10" s="179" t="s">
        <v>148</v>
      </c>
    </row>
    <row r="11" spans="1:47" ht="26.25" thickBot="1">
      <c r="A11" s="3"/>
      <c r="B11" s="1"/>
      <c r="C11" s="21" t="s">
        <v>191</v>
      </c>
      <c r="D11" s="39" t="s">
        <v>192</v>
      </c>
      <c r="E11" s="39" t="s">
        <v>193</v>
      </c>
      <c r="F11" s="183" t="s">
        <v>194</v>
      </c>
      <c r="G11" s="21" t="s">
        <v>195</v>
      </c>
      <c r="H11" s="39" t="s">
        <v>191</v>
      </c>
      <c r="I11" s="39" t="s">
        <v>196</v>
      </c>
      <c r="J11" s="39" t="s">
        <v>193</v>
      </c>
      <c r="K11" s="188" t="s">
        <v>194</v>
      </c>
      <c r="L11" s="39" t="s">
        <v>191</v>
      </c>
      <c r="M11" s="39" t="s">
        <v>192</v>
      </c>
      <c r="N11" s="39" t="s">
        <v>193</v>
      </c>
      <c r="O11" s="183" t="s">
        <v>194</v>
      </c>
      <c r="P11" s="21" t="s">
        <v>195</v>
      </c>
      <c r="Q11" s="39" t="s">
        <v>191</v>
      </c>
      <c r="R11" s="39" t="s">
        <v>196</v>
      </c>
      <c r="S11" s="39" t="s">
        <v>193</v>
      </c>
      <c r="T11" s="188" t="s">
        <v>194</v>
      </c>
      <c r="U11" s="21" t="s">
        <v>191</v>
      </c>
      <c r="V11" s="39" t="s">
        <v>192</v>
      </c>
      <c r="W11" s="39" t="s">
        <v>193</v>
      </c>
      <c r="X11" s="183" t="s">
        <v>194</v>
      </c>
      <c r="Y11" s="21" t="s">
        <v>195</v>
      </c>
      <c r="Z11" s="39" t="s">
        <v>191</v>
      </c>
      <c r="AA11" s="39" t="s">
        <v>196</v>
      </c>
      <c r="AB11" s="39" t="s">
        <v>193</v>
      </c>
      <c r="AC11" s="188" t="s">
        <v>194</v>
      </c>
      <c r="AD11" s="21" t="s">
        <v>191</v>
      </c>
      <c r="AE11" s="39" t="s">
        <v>192</v>
      </c>
      <c r="AF11" s="39" t="s">
        <v>193</v>
      </c>
      <c r="AG11" s="183" t="s">
        <v>194</v>
      </c>
      <c r="AH11" s="21" t="s">
        <v>195</v>
      </c>
      <c r="AI11" s="39" t="s">
        <v>191</v>
      </c>
      <c r="AJ11" s="39" t="s">
        <v>196</v>
      </c>
      <c r="AK11" s="39" t="s">
        <v>193</v>
      </c>
      <c r="AL11" s="191" t="s">
        <v>194</v>
      </c>
      <c r="AM11" s="21" t="s">
        <v>191</v>
      </c>
      <c r="AN11" s="39" t="s">
        <v>192</v>
      </c>
      <c r="AO11" s="39" t="s">
        <v>193</v>
      </c>
      <c r="AP11" s="183" t="s">
        <v>194</v>
      </c>
      <c r="AQ11" s="21" t="s">
        <v>195</v>
      </c>
      <c r="AR11" s="39" t="s">
        <v>191</v>
      </c>
      <c r="AS11" s="39" t="s">
        <v>196</v>
      </c>
      <c r="AT11" s="39" t="s">
        <v>193</v>
      </c>
      <c r="AU11" s="188" t="s">
        <v>194</v>
      </c>
    </row>
    <row r="12" spans="1:47" ht="13.5" thickBot="1">
      <c r="A12" s="32"/>
      <c r="B12" s="33" t="s">
        <v>197</v>
      </c>
      <c r="C12" s="49">
        <f t="shared" ref="C12:AT12" si="0">SUM(C15:C114)</f>
        <v>0</v>
      </c>
      <c r="D12" s="40">
        <f t="shared" si="0"/>
        <v>0</v>
      </c>
      <c r="E12" s="40">
        <f t="shared" si="0"/>
        <v>0</v>
      </c>
      <c r="F12" s="40">
        <f t="shared" si="0"/>
        <v>0</v>
      </c>
      <c r="G12" s="50">
        <f>SUM(G15:G114)</f>
        <v>0</v>
      </c>
      <c r="H12" s="178">
        <f t="shared" si="0"/>
        <v>0</v>
      </c>
      <c r="I12" s="178">
        <f t="shared" si="0"/>
        <v>0</v>
      </c>
      <c r="J12" s="184">
        <f>SUM(J15:J114)</f>
        <v>0</v>
      </c>
      <c r="K12" s="41">
        <f>SUM(K15:K114)</f>
        <v>0</v>
      </c>
      <c r="L12" s="49">
        <f t="shared" si="0"/>
        <v>0</v>
      </c>
      <c r="M12" s="40">
        <f t="shared" si="0"/>
        <v>0</v>
      </c>
      <c r="N12" s="40">
        <f t="shared" si="0"/>
        <v>0</v>
      </c>
      <c r="O12" s="40">
        <f>SUM(O15:O114)</f>
        <v>0</v>
      </c>
      <c r="P12" s="50">
        <f t="shared" si="0"/>
        <v>0</v>
      </c>
      <c r="Q12" s="178">
        <f t="shared" si="0"/>
        <v>0</v>
      </c>
      <c r="R12" s="178">
        <f t="shared" si="0"/>
        <v>0</v>
      </c>
      <c r="S12" s="184">
        <f t="shared" si="0"/>
        <v>0</v>
      </c>
      <c r="T12" s="41">
        <f>SUM(T15:T114)</f>
        <v>0</v>
      </c>
      <c r="U12" s="49">
        <f t="shared" si="0"/>
        <v>0</v>
      </c>
      <c r="V12" s="40">
        <f t="shared" si="0"/>
        <v>0</v>
      </c>
      <c r="W12" s="40">
        <f t="shared" si="0"/>
        <v>0</v>
      </c>
      <c r="X12" s="40">
        <f t="shared" si="0"/>
        <v>0</v>
      </c>
      <c r="Y12" s="50">
        <f t="shared" si="0"/>
        <v>0</v>
      </c>
      <c r="Z12" s="178">
        <f t="shared" si="0"/>
        <v>0</v>
      </c>
      <c r="AA12" s="178">
        <f t="shared" si="0"/>
        <v>0</v>
      </c>
      <c r="AB12" s="184">
        <f t="shared" si="0"/>
        <v>0</v>
      </c>
      <c r="AC12" s="41">
        <f>SUM(AC15:AC114)</f>
        <v>0</v>
      </c>
      <c r="AD12" s="49">
        <f t="shared" si="0"/>
        <v>0</v>
      </c>
      <c r="AE12" s="40">
        <f t="shared" si="0"/>
        <v>0</v>
      </c>
      <c r="AF12" s="40">
        <f t="shared" si="0"/>
        <v>0</v>
      </c>
      <c r="AG12" s="40">
        <f>SUM(AG15:AG114)</f>
        <v>0</v>
      </c>
      <c r="AH12" s="50">
        <f t="shared" si="0"/>
        <v>0</v>
      </c>
      <c r="AI12" s="178">
        <f t="shared" si="0"/>
        <v>0</v>
      </c>
      <c r="AJ12" s="178">
        <f t="shared" si="0"/>
        <v>0</v>
      </c>
      <c r="AK12" s="184">
        <f t="shared" si="0"/>
        <v>0</v>
      </c>
      <c r="AL12" s="41">
        <f>SUM(AL15:AL114)</f>
        <v>0</v>
      </c>
      <c r="AM12" s="49">
        <f t="shared" si="0"/>
        <v>0</v>
      </c>
      <c r="AN12" s="40">
        <f t="shared" si="0"/>
        <v>0</v>
      </c>
      <c r="AO12" s="40">
        <f t="shared" si="0"/>
        <v>0</v>
      </c>
      <c r="AP12" s="40">
        <f t="shared" si="0"/>
        <v>0</v>
      </c>
      <c r="AQ12" s="50">
        <f t="shared" si="0"/>
        <v>0</v>
      </c>
      <c r="AR12" s="178">
        <f t="shared" si="0"/>
        <v>0</v>
      </c>
      <c r="AS12" s="178">
        <f t="shared" si="0"/>
        <v>0</v>
      </c>
      <c r="AT12" s="184">
        <f t="shared" si="0"/>
        <v>0</v>
      </c>
      <c r="AU12" s="41">
        <f>SUM(AU15:AU114)</f>
        <v>0</v>
      </c>
    </row>
    <row r="13" spans="1:47">
      <c r="A13" s="34"/>
      <c r="B13" s="35" t="s">
        <v>198</v>
      </c>
      <c r="C13" s="3"/>
      <c r="D13" s="1"/>
      <c r="E13" s="1"/>
      <c r="F13" s="1"/>
      <c r="G13" s="51"/>
      <c r="H13" s="76"/>
      <c r="I13" s="76"/>
      <c r="J13" s="76"/>
      <c r="K13" s="28"/>
      <c r="L13" s="1"/>
      <c r="M13" s="1"/>
      <c r="N13" s="1"/>
      <c r="O13" s="1"/>
      <c r="P13" s="51"/>
      <c r="Q13" s="76"/>
      <c r="R13" s="76"/>
      <c r="S13" s="76"/>
      <c r="T13" s="28"/>
      <c r="U13" s="1"/>
      <c r="V13" s="1"/>
      <c r="W13" s="1"/>
      <c r="X13" s="1"/>
      <c r="Y13" s="51"/>
      <c r="Z13" s="76"/>
      <c r="AA13" s="76"/>
      <c r="AB13" s="76"/>
      <c r="AC13" s="28"/>
      <c r="AD13" s="1"/>
      <c r="AE13" s="1"/>
      <c r="AF13" s="1"/>
      <c r="AG13" s="1"/>
      <c r="AH13" s="51"/>
      <c r="AI13" s="76"/>
      <c r="AJ13" s="76"/>
      <c r="AK13" s="76"/>
      <c r="AL13" s="28"/>
      <c r="AM13" s="1"/>
      <c r="AN13" s="1"/>
      <c r="AO13" s="1"/>
      <c r="AP13" s="1"/>
      <c r="AQ13" s="51"/>
      <c r="AR13" s="76"/>
      <c r="AS13" s="76"/>
      <c r="AT13" s="76"/>
      <c r="AU13" s="28"/>
    </row>
    <row r="14" spans="1:47" ht="13.5" thickBot="1">
      <c r="A14" s="73" t="s">
        <v>199</v>
      </c>
      <c r="B14" s="36" t="s">
        <v>200</v>
      </c>
      <c r="C14" s="4"/>
      <c r="D14" s="5"/>
      <c r="E14" s="5"/>
      <c r="F14" s="5"/>
      <c r="G14" s="52"/>
      <c r="H14" s="173"/>
      <c r="I14" s="173"/>
      <c r="J14" s="173"/>
      <c r="K14" s="37"/>
      <c r="L14" s="5"/>
      <c r="M14" s="5"/>
      <c r="N14" s="5"/>
      <c r="O14" s="5"/>
      <c r="P14" s="52"/>
      <c r="Q14" s="173"/>
      <c r="R14" s="173"/>
      <c r="S14" s="173"/>
      <c r="T14" s="37"/>
      <c r="U14" s="5"/>
      <c r="V14" s="5"/>
      <c r="W14" s="5"/>
      <c r="X14" s="5"/>
      <c r="Y14" s="52"/>
      <c r="Z14" s="173"/>
      <c r="AA14" s="173"/>
      <c r="AB14" s="173"/>
      <c r="AC14" s="37"/>
      <c r="AD14" s="5"/>
      <c r="AE14" s="5"/>
      <c r="AF14" s="5"/>
      <c r="AG14" s="5"/>
      <c r="AH14" s="52"/>
      <c r="AI14" s="173"/>
      <c r="AJ14" s="173"/>
      <c r="AK14" s="173"/>
      <c r="AL14" s="37"/>
      <c r="AM14" s="5"/>
      <c r="AN14" s="5"/>
      <c r="AO14" s="5"/>
      <c r="AP14" s="5"/>
      <c r="AQ14" s="52"/>
      <c r="AR14" s="173"/>
      <c r="AS14" s="173"/>
      <c r="AT14" s="173"/>
      <c r="AU14" s="37"/>
    </row>
    <row r="15" spans="1:47">
      <c r="A15" s="31">
        <v>0</v>
      </c>
      <c r="B15" s="55">
        <f>Metadata!C23</f>
        <v>1</v>
      </c>
      <c r="C15" s="42"/>
      <c r="D15" s="43"/>
      <c r="E15" s="43"/>
      <c r="F15" s="45"/>
      <c r="G15" s="47">
        <f>SUM(C15:F15)</f>
        <v>0</v>
      </c>
      <c r="H15" s="174">
        <f>C15*$B15</f>
        <v>0</v>
      </c>
      <c r="I15" s="174">
        <f>D15*$B15</f>
        <v>0</v>
      </c>
      <c r="J15" s="185">
        <f>E15*$B15</f>
        <v>0</v>
      </c>
      <c r="K15" s="27">
        <f>F15*$B15</f>
        <v>0</v>
      </c>
      <c r="L15" s="45"/>
      <c r="M15" s="43"/>
      <c r="N15" s="43"/>
      <c r="O15" s="45"/>
      <c r="P15" s="47">
        <f>SUM(L15:O15)</f>
        <v>0</v>
      </c>
      <c r="Q15" s="174">
        <f>L15*$B15</f>
        <v>0</v>
      </c>
      <c r="R15" s="174">
        <f>M15*$B15</f>
        <v>0</v>
      </c>
      <c r="S15" s="185">
        <f>N15*$B15</f>
        <v>0</v>
      </c>
      <c r="T15" s="27">
        <f>O15*$B15</f>
        <v>0</v>
      </c>
      <c r="U15" s="45"/>
      <c r="V15" s="43"/>
      <c r="W15" s="43"/>
      <c r="X15" s="45"/>
      <c r="Y15" s="47">
        <f>SUM(U15:X15)</f>
        <v>0</v>
      </c>
      <c r="Z15" s="174">
        <f>U15*$B15</f>
        <v>0</v>
      </c>
      <c r="AA15" s="174">
        <f>V15*$B15</f>
        <v>0</v>
      </c>
      <c r="AB15" s="185">
        <f>W15*$B15</f>
        <v>0</v>
      </c>
      <c r="AC15" s="27">
        <f>X15*$B15</f>
        <v>0</v>
      </c>
      <c r="AD15" s="45"/>
      <c r="AE15" s="43"/>
      <c r="AF15" s="43"/>
      <c r="AG15" s="45"/>
      <c r="AH15" s="47">
        <f>SUM(AD15:AG15)</f>
        <v>0</v>
      </c>
      <c r="AI15" s="174">
        <f>AD15*$B15</f>
        <v>0</v>
      </c>
      <c r="AJ15" s="174">
        <f>AE15*$B15</f>
        <v>0</v>
      </c>
      <c r="AK15" s="185">
        <f>AF15*$B15</f>
        <v>0</v>
      </c>
      <c r="AL15" s="27">
        <f>AG15*$B15</f>
        <v>0</v>
      </c>
      <c r="AM15" s="45"/>
      <c r="AN15" s="43"/>
      <c r="AO15" s="43"/>
      <c r="AP15" s="45"/>
      <c r="AQ15" s="47">
        <f>SUM(AM15:AP15)</f>
        <v>0</v>
      </c>
      <c r="AR15" s="174">
        <f>AM15*$B15</f>
        <v>0</v>
      </c>
      <c r="AS15" s="174">
        <f>AN15*$B15</f>
        <v>0</v>
      </c>
      <c r="AT15" s="185">
        <f>AO15*$B15</f>
        <v>0</v>
      </c>
      <c r="AU15" s="27">
        <f>AP15*$B15</f>
        <v>0</v>
      </c>
    </row>
    <row r="16" spans="1:47">
      <c r="A16" s="31">
        <f>A15+1</f>
        <v>1</v>
      </c>
      <c r="B16" s="55">
        <f>Metadata!C24</f>
        <v>0.96618357487922713</v>
      </c>
      <c r="C16" s="29"/>
      <c r="D16" s="22"/>
      <c r="E16" s="22"/>
      <c r="F16" s="46"/>
      <c r="G16" s="48">
        <f t="shared" ref="G16:G79" si="1">SUM(C16:F16)</f>
        <v>0</v>
      </c>
      <c r="H16" s="175">
        <f t="shared" ref="H16:H79" si="2">C16*$B16</f>
        <v>0</v>
      </c>
      <c r="I16" s="175">
        <f t="shared" ref="I16:I79" si="3">D16*$B16</f>
        <v>0</v>
      </c>
      <c r="J16" s="186">
        <f t="shared" ref="J16:J79" si="4">E16*$B16</f>
        <v>0</v>
      </c>
      <c r="K16" s="44">
        <f t="shared" ref="K16:K79" si="5">F16*$B16</f>
        <v>0</v>
      </c>
      <c r="L16" s="46"/>
      <c r="M16" s="22"/>
      <c r="N16" s="22"/>
      <c r="O16" s="46"/>
      <c r="P16" s="48">
        <f t="shared" ref="P16:P79" si="6">SUM(L16:O16)</f>
        <v>0</v>
      </c>
      <c r="Q16" s="175">
        <f t="shared" ref="Q16:Q79" si="7">L16*$B16</f>
        <v>0</v>
      </c>
      <c r="R16" s="175">
        <f t="shared" ref="R16:R79" si="8">M16*$B16</f>
        <v>0</v>
      </c>
      <c r="S16" s="186">
        <f t="shared" ref="S16:T79" si="9">N16*$B16</f>
        <v>0</v>
      </c>
      <c r="T16" s="44">
        <f t="shared" si="9"/>
        <v>0</v>
      </c>
      <c r="U16" s="46"/>
      <c r="V16" s="22"/>
      <c r="W16" s="22"/>
      <c r="X16" s="46"/>
      <c r="Y16" s="48">
        <f t="shared" ref="Y16:Y79" si="10">SUM(U16:X16)</f>
        <v>0</v>
      </c>
      <c r="Z16" s="175">
        <f t="shared" ref="Z16:Z79" si="11">U16*$B16</f>
        <v>0</v>
      </c>
      <c r="AA16" s="175">
        <f t="shared" ref="AA16:AA79" si="12">V16*$B16</f>
        <v>0</v>
      </c>
      <c r="AB16" s="186">
        <f t="shared" ref="AB16:AC79" si="13">W16*$B16</f>
        <v>0</v>
      </c>
      <c r="AC16" s="44">
        <f t="shared" si="13"/>
        <v>0</v>
      </c>
      <c r="AD16" s="46"/>
      <c r="AE16" s="22"/>
      <c r="AF16" s="22"/>
      <c r="AG16" s="46"/>
      <c r="AH16" s="48">
        <f t="shared" ref="AH16:AH79" si="14">SUM(AD16:AG16)</f>
        <v>0</v>
      </c>
      <c r="AI16" s="175">
        <f t="shared" ref="AI16:AI79" si="15">AD16*$B16</f>
        <v>0</v>
      </c>
      <c r="AJ16" s="175">
        <f t="shared" ref="AJ16:AJ79" si="16">AE16*$B16</f>
        <v>0</v>
      </c>
      <c r="AK16" s="186">
        <f t="shared" ref="AK16:AL79" si="17">AF16*$B16</f>
        <v>0</v>
      </c>
      <c r="AL16" s="44">
        <f t="shared" si="17"/>
        <v>0</v>
      </c>
      <c r="AM16" s="46"/>
      <c r="AN16" s="22"/>
      <c r="AO16" s="22"/>
      <c r="AP16" s="46"/>
      <c r="AQ16" s="48">
        <f t="shared" ref="AQ16:AQ79" si="18">SUM(AM16:AP16)</f>
        <v>0</v>
      </c>
      <c r="AR16" s="175">
        <f t="shared" ref="AR16:AR79" si="19">AM16*$B16</f>
        <v>0</v>
      </c>
      <c r="AS16" s="175">
        <f t="shared" ref="AS16:AS79" si="20">AN16*$B16</f>
        <v>0</v>
      </c>
      <c r="AT16" s="186">
        <f t="shared" ref="AT16:AU79" si="21">AO16*$B16</f>
        <v>0</v>
      </c>
      <c r="AU16" s="44">
        <f t="shared" si="21"/>
        <v>0</v>
      </c>
    </row>
    <row r="17" spans="1:47">
      <c r="A17" s="31">
        <f t="shared" ref="A17:A80" si="22">A16+1</f>
        <v>2</v>
      </c>
      <c r="B17" s="55">
        <f>Metadata!C25</f>
        <v>0.93351070036640305</v>
      </c>
      <c r="C17" s="29"/>
      <c r="D17" s="22"/>
      <c r="E17" s="22"/>
      <c r="F17" s="46"/>
      <c r="G17" s="48">
        <f t="shared" si="1"/>
        <v>0</v>
      </c>
      <c r="H17" s="175">
        <f t="shared" si="2"/>
        <v>0</v>
      </c>
      <c r="I17" s="175">
        <f t="shared" si="3"/>
        <v>0</v>
      </c>
      <c r="J17" s="186">
        <f t="shared" si="4"/>
        <v>0</v>
      </c>
      <c r="K17" s="44">
        <f t="shared" si="5"/>
        <v>0</v>
      </c>
      <c r="L17" s="46"/>
      <c r="M17" s="22"/>
      <c r="N17" s="22"/>
      <c r="O17" s="46"/>
      <c r="P17" s="48">
        <f t="shared" si="6"/>
        <v>0</v>
      </c>
      <c r="Q17" s="175">
        <f t="shared" si="7"/>
        <v>0</v>
      </c>
      <c r="R17" s="175">
        <f t="shared" si="8"/>
        <v>0</v>
      </c>
      <c r="S17" s="186">
        <f t="shared" si="9"/>
        <v>0</v>
      </c>
      <c r="T17" s="44">
        <f t="shared" si="9"/>
        <v>0</v>
      </c>
      <c r="U17" s="46"/>
      <c r="V17" s="22"/>
      <c r="W17" s="22"/>
      <c r="X17" s="46"/>
      <c r="Y17" s="48">
        <f t="shared" si="10"/>
        <v>0</v>
      </c>
      <c r="Z17" s="175">
        <f t="shared" si="11"/>
        <v>0</v>
      </c>
      <c r="AA17" s="175">
        <f t="shared" si="12"/>
        <v>0</v>
      </c>
      <c r="AB17" s="186">
        <f t="shared" si="13"/>
        <v>0</v>
      </c>
      <c r="AC17" s="44">
        <f t="shared" si="13"/>
        <v>0</v>
      </c>
      <c r="AD17" s="46"/>
      <c r="AE17" s="22"/>
      <c r="AF17" s="22"/>
      <c r="AG17" s="46"/>
      <c r="AH17" s="48">
        <f t="shared" si="14"/>
        <v>0</v>
      </c>
      <c r="AI17" s="175">
        <f t="shared" si="15"/>
        <v>0</v>
      </c>
      <c r="AJ17" s="175">
        <f t="shared" si="16"/>
        <v>0</v>
      </c>
      <c r="AK17" s="186">
        <f t="shared" si="17"/>
        <v>0</v>
      </c>
      <c r="AL17" s="44">
        <f t="shared" si="17"/>
        <v>0</v>
      </c>
      <c r="AM17" s="46"/>
      <c r="AN17" s="22"/>
      <c r="AO17" s="22"/>
      <c r="AP17" s="46"/>
      <c r="AQ17" s="48">
        <f t="shared" si="18"/>
        <v>0</v>
      </c>
      <c r="AR17" s="175">
        <f t="shared" si="19"/>
        <v>0</v>
      </c>
      <c r="AS17" s="175">
        <f t="shared" si="20"/>
        <v>0</v>
      </c>
      <c r="AT17" s="186">
        <f t="shared" si="21"/>
        <v>0</v>
      </c>
      <c r="AU17" s="44">
        <f t="shared" si="21"/>
        <v>0</v>
      </c>
    </row>
    <row r="18" spans="1:47">
      <c r="A18" s="31">
        <f t="shared" si="22"/>
        <v>3</v>
      </c>
      <c r="B18" s="55">
        <f>Metadata!C26</f>
        <v>0.90194270566802237</v>
      </c>
      <c r="C18" s="29"/>
      <c r="D18" s="22"/>
      <c r="E18" s="22"/>
      <c r="F18" s="46"/>
      <c r="G18" s="48">
        <f t="shared" si="1"/>
        <v>0</v>
      </c>
      <c r="H18" s="175">
        <f t="shared" si="2"/>
        <v>0</v>
      </c>
      <c r="I18" s="175">
        <f t="shared" si="3"/>
        <v>0</v>
      </c>
      <c r="J18" s="186">
        <f t="shared" si="4"/>
        <v>0</v>
      </c>
      <c r="K18" s="44">
        <f t="shared" si="5"/>
        <v>0</v>
      </c>
      <c r="L18" s="46"/>
      <c r="M18" s="22"/>
      <c r="N18" s="22"/>
      <c r="O18" s="46"/>
      <c r="P18" s="48">
        <f t="shared" si="6"/>
        <v>0</v>
      </c>
      <c r="Q18" s="175">
        <f t="shared" si="7"/>
        <v>0</v>
      </c>
      <c r="R18" s="175">
        <f t="shared" si="8"/>
        <v>0</v>
      </c>
      <c r="S18" s="186">
        <f t="shared" si="9"/>
        <v>0</v>
      </c>
      <c r="T18" s="44">
        <f t="shared" si="9"/>
        <v>0</v>
      </c>
      <c r="U18" s="46"/>
      <c r="V18" s="22"/>
      <c r="W18" s="22"/>
      <c r="X18" s="46"/>
      <c r="Y18" s="48">
        <f t="shared" si="10"/>
        <v>0</v>
      </c>
      <c r="Z18" s="175">
        <f t="shared" si="11"/>
        <v>0</v>
      </c>
      <c r="AA18" s="175">
        <f t="shared" si="12"/>
        <v>0</v>
      </c>
      <c r="AB18" s="186">
        <f t="shared" si="13"/>
        <v>0</v>
      </c>
      <c r="AC18" s="44">
        <f t="shared" si="13"/>
        <v>0</v>
      </c>
      <c r="AD18" s="46"/>
      <c r="AE18" s="22"/>
      <c r="AF18" s="22"/>
      <c r="AG18" s="46"/>
      <c r="AH18" s="48">
        <f t="shared" si="14"/>
        <v>0</v>
      </c>
      <c r="AI18" s="175">
        <f t="shared" si="15"/>
        <v>0</v>
      </c>
      <c r="AJ18" s="175">
        <f t="shared" si="16"/>
        <v>0</v>
      </c>
      <c r="AK18" s="186">
        <f t="shared" si="17"/>
        <v>0</v>
      </c>
      <c r="AL18" s="44">
        <f t="shared" si="17"/>
        <v>0</v>
      </c>
      <c r="AM18" s="46"/>
      <c r="AN18" s="22"/>
      <c r="AO18" s="22"/>
      <c r="AP18" s="46"/>
      <c r="AQ18" s="48">
        <f t="shared" si="18"/>
        <v>0</v>
      </c>
      <c r="AR18" s="175">
        <f t="shared" si="19"/>
        <v>0</v>
      </c>
      <c r="AS18" s="175">
        <f t="shared" si="20"/>
        <v>0</v>
      </c>
      <c r="AT18" s="186">
        <f t="shared" si="21"/>
        <v>0</v>
      </c>
      <c r="AU18" s="44">
        <f t="shared" si="21"/>
        <v>0</v>
      </c>
    </row>
    <row r="19" spans="1:47">
      <c r="A19" s="31">
        <f t="shared" si="22"/>
        <v>4</v>
      </c>
      <c r="B19" s="55">
        <f>Metadata!C27</f>
        <v>0.87144222769857238</v>
      </c>
      <c r="C19" s="29"/>
      <c r="D19" s="22"/>
      <c r="E19" s="22"/>
      <c r="F19" s="46"/>
      <c r="G19" s="48">
        <f t="shared" si="1"/>
        <v>0</v>
      </c>
      <c r="H19" s="175">
        <f t="shared" si="2"/>
        <v>0</v>
      </c>
      <c r="I19" s="175">
        <f t="shared" si="3"/>
        <v>0</v>
      </c>
      <c r="J19" s="186">
        <f t="shared" si="4"/>
        <v>0</v>
      </c>
      <c r="K19" s="44">
        <f t="shared" si="5"/>
        <v>0</v>
      </c>
      <c r="L19" s="46"/>
      <c r="M19" s="22"/>
      <c r="N19" s="22"/>
      <c r="O19" s="46"/>
      <c r="P19" s="48">
        <f t="shared" si="6"/>
        <v>0</v>
      </c>
      <c r="Q19" s="175">
        <f t="shared" si="7"/>
        <v>0</v>
      </c>
      <c r="R19" s="175">
        <f t="shared" si="8"/>
        <v>0</v>
      </c>
      <c r="S19" s="186">
        <f t="shared" si="9"/>
        <v>0</v>
      </c>
      <c r="T19" s="44">
        <f t="shared" si="9"/>
        <v>0</v>
      </c>
      <c r="U19" s="46"/>
      <c r="V19" s="22"/>
      <c r="W19" s="22"/>
      <c r="X19" s="46"/>
      <c r="Y19" s="48">
        <f t="shared" si="10"/>
        <v>0</v>
      </c>
      <c r="Z19" s="175">
        <f t="shared" si="11"/>
        <v>0</v>
      </c>
      <c r="AA19" s="175">
        <f t="shared" si="12"/>
        <v>0</v>
      </c>
      <c r="AB19" s="186">
        <f t="shared" si="13"/>
        <v>0</v>
      </c>
      <c r="AC19" s="44">
        <f t="shared" si="13"/>
        <v>0</v>
      </c>
      <c r="AD19" s="46"/>
      <c r="AE19" s="22"/>
      <c r="AF19" s="22"/>
      <c r="AG19" s="46"/>
      <c r="AH19" s="48">
        <f t="shared" si="14"/>
        <v>0</v>
      </c>
      <c r="AI19" s="175">
        <f t="shared" si="15"/>
        <v>0</v>
      </c>
      <c r="AJ19" s="175">
        <f t="shared" si="16"/>
        <v>0</v>
      </c>
      <c r="AK19" s="186">
        <f t="shared" si="17"/>
        <v>0</v>
      </c>
      <c r="AL19" s="44">
        <f t="shared" si="17"/>
        <v>0</v>
      </c>
      <c r="AM19" s="46"/>
      <c r="AN19" s="22"/>
      <c r="AO19" s="22"/>
      <c r="AP19" s="46"/>
      <c r="AQ19" s="48">
        <f t="shared" si="18"/>
        <v>0</v>
      </c>
      <c r="AR19" s="175">
        <f t="shared" si="19"/>
        <v>0</v>
      </c>
      <c r="AS19" s="175">
        <f t="shared" si="20"/>
        <v>0</v>
      </c>
      <c r="AT19" s="186">
        <f t="shared" si="21"/>
        <v>0</v>
      </c>
      <c r="AU19" s="44">
        <f t="shared" si="21"/>
        <v>0</v>
      </c>
    </row>
    <row r="20" spans="1:47">
      <c r="A20" s="31">
        <f t="shared" si="22"/>
        <v>5</v>
      </c>
      <c r="B20" s="55">
        <f>Metadata!C28</f>
        <v>0.84197316685852408</v>
      </c>
      <c r="C20" s="29"/>
      <c r="D20" s="22"/>
      <c r="E20" s="22"/>
      <c r="F20" s="46"/>
      <c r="G20" s="48">
        <f t="shared" si="1"/>
        <v>0</v>
      </c>
      <c r="H20" s="175">
        <f t="shared" si="2"/>
        <v>0</v>
      </c>
      <c r="I20" s="175">
        <f t="shared" si="3"/>
        <v>0</v>
      </c>
      <c r="J20" s="186">
        <f t="shared" si="4"/>
        <v>0</v>
      </c>
      <c r="K20" s="44">
        <f t="shared" si="5"/>
        <v>0</v>
      </c>
      <c r="L20" s="46"/>
      <c r="M20" s="22"/>
      <c r="N20" s="22"/>
      <c r="O20" s="46"/>
      <c r="P20" s="48">
        <f t="shared" si="6"/>
        <v>0</v>
      </c>
      <c r="Q20" s="175">
        <f t="shared" si="7"/>
        <v>0</v>
      </c>
      <c r="R20" s="175">
        <f t="shared" si="8"/>
        <v>0</v>
      </c>
      <c r="S20" s="186">
        <f t="shared" si="9"/>
        <v>0</v>
      </c>
      <c r="T20" s="44">
        <f t="shared" si="9"/>
        <v>0</v>
      </c>
      <c r="U20" s="46"/>
      <c r="V20" s="22"/>
      <c r="W20" s="22"/>
      <c r="X20" s="46"/>
      <c r="Y20" s="48">
        <f t="shared" si="10"/>
        <v>0</v>
      </c>
      <c r="Z20" s="175">
        <f t="shared" si="11"/>
        <v>0</v>
      </c>
      <c r="AA20" s="175">
        <f t="shared" si="12"/>
        <v>0</v>
      </c>
      <c r="AB20" s="186">
        <f t="shared" si="13"/>
        <v>0</v>
      </c>
      <c r="AC20" s="44">
        <f t="shared" si="13"/>
        <v>0</v>
      </c>
      <c r="AD20" s="124"/>
      <c r="AE20" s="22"/>
      <c r="AF20" s="22"/>
      <c r="AG20" s="46"/>
      <c r="AH20" s="48">
        <f t="shared" si="14"/>
        <v>0</v>
      </c>
      <c r="AI20" s="175">
        <f t="shared" si="15"/>
        <v>0</v>
      </c>
      <c r="AJ20" s="175">
        <f t="shared" si="16"/>
        <v>0</v>
      </c>
      <c r="AK20" s="186">
        <f t="shared" si="17"/>
        <v>0</v>
      </c>
      <c r="AL20" s="44">
        <f t="shared" si="17"/>
        <v>0</v>
      </c>
      <c r="AM20" s="46"/>
      <c r="AN20" s="22"/>
      <c r="AO20" s="22"/>
      <c r="AP20" s="46"/>
      <c r="AQ20" s="48">
        <f t="shared" si="18"/>
        <v>0</v>
      </c>
      <c r="AR20" s="175">
        <f t="shared" si="19"/>
        <v>0</v>
      </c>
      <c r="AS20" s="175">
        <f t="shared" si="20"/>
        <v>0</v>
      </c>
      <c r="AT20" s="186">
        <f t="shared" si="21"/>
        <v>0</v>
      </c>
      <c r="AU20" s="44">
        <f t="shared" si="21"/>
        <v>0</v>
      </c>
    </row>
    <row r="21" spans="1:47">
      <c r="A21" s="31">
        <f t="shared" si="22"/>
        <v>6</v>
      </c>
      <c r="B21" s="55">
        <f>Metadata!C29</f>
        <v>0.81350064430775282</v>
      </c>
      <c r="C21" s="29"/>
      <c r="D21" s="22"/>
      <c r="E21" s="22"/>
      <c r="F21" s="46"/>
      <c r="G21" s="48">
        <f t="shared" si="1"/>
        <v>0</v>
      </c>
      <c r="H21" s="175">
        <f t="shared" si="2"/>
        <v>0</v>
      </c>
      <c r="I21" s="175">
        <f t="shared" si="3"/>
        <v>0</v>
      </c>
      <c r="J21" s="186">
        <f t="shared" si="4"/>
        <v>0</v>
      </c>
      <c r="K21" s="44">
        <f t="shared" si="5"/>
        <v>0</v>
      </c>
      <c r="L21" s="46"/>
      <c r="M21" s="22"/>
      <c r="N21" s="22"/>
      <c r="O21" s="46"/>
      <c r="P21" s="48">
        <f t="shared" si="6"/>
        <v>0</v>
      </c>
      <c r="Q21" s="175">
        <f t="shared" si="7"/>
        <v>0</v>
      </c>
      <c r="R21" s="175">
        <f t="shared" si="8"/>
        <v>0</v>
      </c>
      <c r="S21" s="186">
        <f t="shared" si="9"/>
        <v>0</v>
      </c>
      <c r="T21" s="44">
        <f t="shared" si="9"/>
        <v>0</v>
      </c>
      <c r="U21" s="46"/>
      <c r="V21" s="22"/>
      <c r="W21" s="22"/>
      <c r="X21" s="46"/>
      <c r="Y21" s="48">
        <f t="shared" si="10"/>
        <v>0</v>
      </c>
      <c r="Z21" s="175">
        <f t="shared" si="11"/>
        <v>0</v>
      </c>
      <c r="AA21" s="175">
        <f t="shared" si="12"/>
        <v>0</v>
      </c>
      <c r="AB21" s="186">
        <f t="shared" si="13"/>
        <v>0</v>
      </c>
      <c r="AC21" s="44">
        <f t="shared" si="13"/>
        <v>0</v>
      </c>
      <c r="AD21" s="46"/>
      <c r="AE21" s="22"/>
      <c r="AF21" s="22"/>
      <c r="AG21" s="46"/>
      <c r="AH21" s="48">
        <f t="shared" si="14"/>
        <v>0</v>
      </c>
      <c r="AI21" s="175">
        <f t="shared" si="15"/>
        <v>0</v>
      </c>
      <c r="AJ21" s="175">
        <f t="shared" si="16"/>
        <v>0</v>
      </c>
      <c r="AK21" s="186">
        <f t="shared" si="17"/>
        <v>0</v>
      </c>
      <c r="AL21" s="44">
        <f t="shared" si="17"/>
        <v>0</v>
      </c>
      <c r="AM21" s="46"/>
      <c r="AN21" s="22"/>
      <c r="AO21" s="22"/>
      <c r="AP21" s="46"/>
      <c r="AQ21" s="48">
        <f t="shared" si="18"/>
        <v>0</v>
      </c>
      <c r="AR21" s="175">
        <f t="shared" si="19"/>
        <v>0</v>
      </c>
      <c r="AS21" s="175">
        <f t="shared" si="20"/>
        <v>0</v>
      </c>
      <c r="AT21" s="186">
        <f t="shared" si="21"/>
        <v>0</v>
      </c>
      <c r="AU21" s="44">
        <f t="shared" si="21"/>
        <v>0</v>
      </c>
    </row>
    <row r="22" spans="1:47">
      <c r="A22" s="31">
        <f t="shared" si="22"/>
        <v>7</v>
      </c>
      <c r="B22" s="55">
        <f>Metadata!C30</f>
        <v>0.78599096068381924</v>
      </c>
      <c r="C22" s="29"/>
      <c r="D22" s="22"/>
      <c r="E22" s="22"/>
      <c r="F22" s="46"/>
      <c r="G22" s="48">
        <f t="shared" si="1"/>
        <v>0</v>
      </c>
      <c r="H22" s="175">
        <f t="shared" si="2"/>
        <v>0</v>
      </c>
      <c r="I22" s="175">
        <f t="shared" si="3"/>
        <v>0</v>
      </c>
      <c r="J22" s="186">
        <f t="shared" si="4"/>
        <v>0</v>
      </c>
      <c r="K22" s="44">
        <f t="shared" si="5"/>
        <v>0</v>
      </c>
      <c r="L22" s="46"/>
      <c r="M22" s="22"/>
      <c r="N22" s="22"/>
      <c r="O22" s="46"/>
      <c r="P22" s="48">
        <f t="shared" si="6"/>
        <v>0</v>
      </c>
      <c r="Q22" s="175">
        <f t="shared" si="7"/>
        <v>0</v>
      </c>
      <c r="R22" s="175">
        <f t="shared" si="8"/>
        <v>0</v>
      </c>
      <c r="S22" s="186">
        <f t="shared" si="9"/>
        <v>0</v>
      </c>
      <c r="T22" s="44">
        <f t="shared" si="9"/>
        <v>0</v>
      </c>
      <c r="U22" s="46"/>
      <c r="V22" s="22"/>
      <c r="W22" s="22"/>
      <c r="X22" s="46"/>
      <c r="Y22" s="48">
        <f t="shared" si="10"/>
        <v>0</v>
      </c>
      <c r="Z22" s="175">
        <f t="shared" si="11"/>
        <v>0</v>
      </c>
      <c r="AA22" s="175">
        <f t="shared" si="12"/>
        <v>0</v>
      </c>
      <c r="AB22" s="186">
        <f t="shared" si="13"/>
        <v>0</v>
      </c>
      <c r="AC22" s="44">
        <f t="shared" si="13"/>
        <v>0</v>
      </c>
      <c r="AD22" s="46"/>
      <c r="AE22" s="22"/>
      <c r="AF22" s="22"/>
      <c r="AG22" s="46"/>
      <c r="AH22" s="48">
        <f t="shared" si="14"/>
        <v>0</v>
      </c>
      <c r="AI22" s="175">
        <f t="shared" si="15"/>
        <v>0</v>
      </c>
      <c r="AJ22" s="175">
        <f t="shared" si="16"/>
        <v>0</v>
      </c>
      <c r="AK22" s="186">
        <f t="shared" si="17"/>
        <v>0</v>
      </c>
      <c r="AL22" s="44">
        <f t="shared" si="17"/>
        <v>0</v>
      </c>
      <c r="AM22" s="46"/>
      <c r="AN22" s="22"/>
      <c r="AO22" s="22"/>
      <c r="AP22" s="46"/>
      <c r="AQ22" s="48">
        <f t="shared" si="18"/>
        <v>0</v>
      </c>
      <c r="AR22" s="175">
        <f t="shared" si="19"/>
        <v>0</v>
      </c>
      <c r="AS22" s="175">
        <f t="shared" si="20"/>
        <v>0</v>
      </c>
      <c r="AT22" s="186">
        <f t="shared" si="21"/>
        <v>0</v>
      </c>
      <c r="AU22" s="44">
        <f t="shared" si="21"/>
        <v>0</v>
      </c>
    </row>
    <row r="23" spans="1:47">
      <c r="A23" s="31">
        <f t="shared" si="22"/>
        <v>8</v>
      </c>
      <c r="B23" s="55">
        <f>Metadata!C31</f>
        <v>0.75941155621625056</v>
      </c>
      <c r="C23" s="29"/>
      <c r="D23" s="22"/>
      <c r="E23" s="22"/>
      <c r="F23" s="46"/>
      <c r="G23" s="48">
        <f t="shared" si="1"/>
        <v>0</v>
      </c>
      <c r="H23" s="175">
        <f t="shared" si="2"/>
        <v>0</v>
      </c>
      <c r="I23" s="175">
        <f t="shared" si="3"/>
        <v>0</v>
      </c>
      <c r="J23" s="186">
        <f t="shared" si="4"/>
        <v>0</v>
      </c>
      <c r="K23" s="44">
        <f t="shared" si="5"/>
        <v>0</v>
      </c>
      <c r="L23" s="46"/>
      <c r="M23" s="22"/>
      <c r="N23" s="22"/>
      <c r="O23" s="46"/>
      <c r="P23" s="48">
        <f t="shared" si="6"/>
        <v>0</v>
      </c>
      <c r="Q23" s="175">
        <f t="shared" si="7"/>
        <v>0</v>
      </c>
      <c r="R23" s="175">
        <f t="shared" si="8"/>
        <v>0</v>
      </c>
      <c r="S23" s="186">
        <f t="shared" si="9"/>
        <v>0</v>
      </c>
      <c r="T23" s="44">
        <f t="shared" si="9"/>
        <v>0</v>
      </c>
      <c r="U23" s="46"/>
      <c r="V23" s="22"/>
      <c r="W23" s="22"/>
      <c r="X23" s="46"/>
      <c r="Y23" s="48">
        <f t="shared" si="10"/>
        <v>0</v>
      </c>
      <c r="Z23" s="175">
        <f t="shared" si="11"/>
        <v>0</v>
      </c>
      <c r="AA23" s="175">
        <f t="shared" si="12"/>
        <v>0</v>
      </c>
      <c r="AB23" s="186">
        <f t="shared" si="13"/>
        <v>0</v>
      </c>
      <c r="AC23" s="44">
        <f t="shared" si="13"/>
        <v>0</v>
      </c>
      <c r="AD23" s="46"/>
      <c r="AE23" s="22"/>
      <c r="AF23" s="22"/>
      <c r="AG23" s="46"/>
      <c r="AH23" s="48">
        <f t="shared" si="14"/>
        <v>0</v>
      </c>
      <c r="AI23" s="175">
        <f t="shared" si="15"/>
        <v>0</v>
      </c>
      <c r="AJ23" s="175">
        <f t="shared" si="16"/>
        <v>0</v>
      </c>
      <c r="AK23" s="186">
        <f t="shared" si="17"/>
        <v>0</v>
      </c>
      <c r="AL23" s="44">
        <f t="shared" si="17"/>
        <v>0</v>
      </c>
      <c r="AM23" s="46"/>
      <c r="AN23" s="22"/>
      <c r="AO23" s="22"/>
      <c r="AP23" s="46"/>
      <c r="AQ23" s="48">
        <f t="shared" si="18"/>
        <v>0</v>
      </c>
      <c r="AR23" s="175">
        <f t="shared" si="19"/>
        <v>0</v>
      </c>
      <c r="AS23" s="175">
        <f t="shared" si="20"/>
        <v>0</v>
      </c>
      <c r="AT23" s="186">
        <f t="shared" si="21"/>
        <v>0</v>
      </c>
      <c r="AU23" s="44">
        <f t="shared" si="21"/>
        <v>0</v>
      </c>
    </row>
    <row r="24" spans="1:47">
      <c r="A24" s="31">
        <f t="shared" si="22"/>
        <v>9</v>
      </c>
      <c r="B24" s="55">
        <f>Metadata!C32</f>
        <v>0.73373097218961414</v>
      </c>
      <c r="C24" s="29"/>
      <c r="D24" s="22"/>
      <c r="E24" s="22"/>
      <c r="F24" s="46"/>
      <c r="G24" s="48">
        <f t="shared" si="1"/>
        <v>0</v>
      </c>
      <c r="H24" s="175">
        <f t="shared" si="2"/>
        <v>0</v>
      </c>
      <c r="I24" s="175">
        <f t="shared" si="3"/>
        <v>0</v>
      </c>
      <c r="J24" s="186">
        <f t="shared" si="4"/>
        <v>0</v>
      </c>
      <c r="K24" s="44">
        <f t="shared" si="5"/>
        <v>0</v>
      </c>
      <c r="L24" s="46"/>
      <c r="M24" s="22"/>
      <c r="N24" s="22"/>
      <c r="O24" s="46"/>
      <c r="P24" s="48">
        <f t="shared" si="6"/>
        <v>0</v>
      </c>
      <c r="Q24" s="175">
        <f t="shared" si="7"/>
        <v>0</v>
      </c>
      <c r="R24" s="175">
        <f t="shared" si="8"/>
        <v>0</v>
      </c>
      <c r="S24" s="186">
        <f t="shared" si="9"/>
        <v>0</v>
      </c>
      <c r="T24" s="44">
        <f t="shared" si="9"/>
        <v>0</v>
      </c>
      <c r="U24" s="46"/>
      <c r="V24" s="22"/>
      <c r="W24" s="22"/>
      <c r="X24" s="46"/>
      <c r="Y24" s="48">
        <f t="shared" si="10"/>
        <v>0</v>
      </c>
      <c r="Z24" s="175">
        <f t="shared" si="11"/>
        <v>0</v>
      </c>
      <c r="AA24" s="175">
        <f t="shared" si="12"/>
        <v>0</v>
      </c>
      <c r="AB24" s="186">
        <f t="shared" si="13"/>
        <v>0</v>
      </c>
      <c r="AC24" s="44">
        <f t="shared" si="13"/>
        <v>0</v>
      </c>
      <c r="AD24" s="46"/>
      <c r="AE24" s="22"/>
      <c r="AF24" s="22"/>
      <c r="AG24" s="46"/>
      <c r="AH24" s="48">
        <f t="shared" si="14"/>
        <v>0</v>
      </c>
      <c r="AI24" s="175">
        <f t="shared" si="15"/>
        <v>0</v>
      </c>
      <c r="AJ24" s="175">
        <f t="shared" si="16"/>
        <v>0</v>
      </c>
      <c r="AK24" s="186">
        <f t="shared" si="17"/>
        <v>0</v>
      </c>
      <c r="AL24" s="44">
        <f t="shared" si="17"/>
        <v>0</v>
      </c>
      <c r="AM24" s="46"/>
      <c r="AN24" s="22"/>
      <c r="AO24" s="22"/>
      <c r="AP24" s="46"/>
      <c r="AQ24" s="48">
        <f t="shared" si="18"/>
        <v>0</v>
      </c>
      <c r="AR24" s="175">
        <f t="shared" si="19"/>
        <v>0</v>
      </c>
      <c r="AS24" s="175">
        <f t="shared" si="20"/>
        <v>0</v>
      </c>
      <c r="AT24" s="186">
        <f t="shared" si="21"/>
        <v>0</v>
      </c>
      <c r="AU24" s="44">
        <f t="shared" si="21"/>
        <v>0</v>
      </c>
    </row>
    <row r="25" spans="1:47">
      <c r="A25" s="31">
        <f t="shared" si="22"/>
        <v>10</v>
      </c>
      <c r="B25" s="55">
        <f>Metadata!C33</f>
        <v>0.70891881370977217</v>
      </c>
      <c r="C25" s="29"/>
      <c r="D25" s="22"/>
      <c r="E25" s="22"/>
      <c r="F25" s="46"/>
      <c r="G25" s="48">
        <f t="shared" si="1"/>
        <v>0</v>
      </c>
      <c r="H25" s="175">
        <f t="shared" si="2"/>
        <v>0</v>
      </c>
      <c r="I25" s="175">
        <f t="shared" si="3"/>
        <v>0</v>
      </c>
      <c r="J25" s="186">
        <f t="shared" si="4"/>
        <v>0</v>
      </c>
      <c r="K25" s="44">
        <f t="shared" si="5"/>
        <v>0</v>
      </c>
      <c r="L25" s="46"/>
      <c r="M25" s="22"/>
      <c r="N25" s="22"/>
      <c r="O25" s="46"/>
      <c r="P25" s="48">
        <f t="shared" si="6"/>
        <v>0</v>
      </c>
      <c r="Q25" s="175">
        <f t="shared" si="7"/>
        <v>0</v>
      </c>
      <c r="R25" s="175">
        <f t="shared" si="8"/>
        <v>0</v>
      </c>
      <c r="S25" s="186">
        <f t="shared" si="9"/>
        <v>0</v>
      </c>
      <c r="T25" s="44">
        <f t="shared" si="9"/>
        <v>0</v>
      </c>
      <c r="U25" s="46"/>
      <c r="V25" s="22"/>
      <c r="W25" s="22"/>
      <c r="X25" s="46"/>
      <c r="Y25" s="48">
        <f t="shared" si="10"/>
        <v>0</v>
      </c>
      <c r="Z25" s="175">
        <f t="shared" si="11"/>
        <v>0</v>
      </c>
      <c r="AA25" s="175">
        <f t="shared" si="12"/>
        <v>0</v>
      </c>
      <c r="AB25" s="186">
        <f t="shared" si="13"/>
        <v>0</v>
      </c>
      <c r="AC25" s="44">
        <f t="shared" si="13"/>
        <v>0</v>
      </c>
      <c r="AD25" s="46"/>
      <c r="AE25" s="22"/>
      <c r="AF25" s="22"/>
      <c r="AG25" s="46"/>
      <c r="AH25" s="48">
        <f t="shared" si="14"/>
        <v>0</v>
      </c>
      <c r="AI25" s="175">
        <f t="shared" si="15"/>
        <v>0</v>
      </c>
      <c r="AJ25" s="175">
        <f t="shared" si="16"/>
        <v>0</v>
      </c>
      <c r="AK25" s="186">
        <f t="shared" si="17"/>
        <v>0</v>
      </c>
      <c r="AL25" s="44">
        <f t="shared" si="17"/>
        <v>0</v>
      </c>
      <c r="AM25" s="46"/>
      <c r="AN25" s="22"/>
      <c r="AO25" s="22"/>
      <c r="AP25" s="46"/>
      <c r="AQ25" s="48">
        <f t="shared" si="18"/>
        <v>0</v>
      </c>
      <c r="AR25" s="175">
        <f t="shared" si="19"/>
        <v>0</v>
      </c>
      <c r="AS25" s="175">
        <f t="shared" si="20"/>
        <v>0</v>
      </c>
      <c r="AT25" s="186">
        <f t="shared" si="21"/>
        <v>0</v>
      </c>
      <c r="AU25" s="44">
        <f t="shared" si="21"/>
        <v>0</v>
      </c>
    </row>
    <row r="26" spans="1:47">
      <c r="A26" s="31">
        <f t="shared" si="22"/>
        <v>11</v>
      </c>
      <c r="B26" s="55">
        <f>Metadata!C34</f>
        <v>0.68494571372924851</v>
      </c>
      <c r="C26" s="29"/>
      <c r="D26" s="22"/>
      <c r="E26" s="22"/>
      <c r="F26" s="46"/>
      <c r="G26" s="48">
        <f t="shared" si="1"/>
        <v>0</v>
      </c>
      <c r="H26" s="175">
        <f t="shared" si="2"/>
        <v>0</v>
      </c>
      <c r="I26" s="175">
        <f t="shared" si="3"/>
        <v>0</v>
      </c>
      <c r="J26" s="186">
        <f t="shared" si="4"/>
        <v>0</v>
      </c>
      <c r="K26" s="44">
        <f t="shared" si="5"/>
        <v>0</v>
      </c>
      <c r="L26" s="46"/>
      <c r="M26" s="22"/>
      <c r="N26" s="22"/>
      <c r="O26" s="46"/>
      <c r="P26" s="48">
        <f t="shared" si="6"/>
        <v>0</v>
      </c>
      <c r="Q26" s="175">
        <f t="shared" si="7"/>
        <v>0</v>
      </c>
      <c r="R26" s="175">
        <f t="shared" si="8"/>
        <v>0</v>
      </c>
      <c r="S26" s="186">
        <f t="shared" si="9"/>
        <v>0</v>
      </c>
      <c r="T26" s="44">
        <f t="shared" si="9"/>
        <v>0</v>
      </c>
      <c r="U26" s="46"/>
      <c r="V26" s="22"/>
      <c r="W26" s="22"/>
      <c r="X26" s="46"/>
      <c r="Y26" s="48">
        <f t="shared" si="10"/>
        <v>0</v>
      </c>
      <c r="Z26" s="175">
        <f t="shared" si="11"/>
        <v>0</v>
      </c>
      <c r="AA26" s="175">
        <f t="shared" si="12"/>
        <v>0</v>
      </c>
      <c r="AB26" s="186">
        <f t="shared" si="13"/>
        <v>0</v>
      </c>
      <c r="AC26" s="44">
        <f t="shared" si="13"/>
        <v>0</v>
      </c>
      <c r="AD26" s="46"/>
      <c r="AE26" s="22"/>
      <c r="AF26" s="22"/>
      <c r="AG26" s="46"/>
      <c r="AH26" s="48">
        <f t="shared" si="14"/>
        <v>0</v>
      </c>
      <c r="AI26" s="175">
        <f t="shared" si="15"/>
        <v>0</v>
      </c>
      <c r="AJ26" s="175">
        <f t="shared" si="16"/>
        <v>0</v>
      </c>
      <c r="AK26" s="186">
        <f t="shared" si="17"/>
        <v>0</v>
      </c>
      <c r="AL26" s="44">
        <f t="shared" si="17"/>
        <v>0</v>
      </c>
      <c r="AM26" s="46"/>
      <c r="AN26" s="22"/>
      <c r="AO26" s="22"/>
      <c r="AP26" s="46"/>
      <c r="AQ26" s="48">
        <f t="shared" si="18"/>
        <v>0</v>
      </c>
      <c r="AR26" s="175">
        <f t="shared" si="19"/>
        <v>0</v>
      </c>
      <c r="AS26" s="175">
        <f t="shared" si="20"/>
        <v>0</v>
      </c>
      <c r="AT26" s="186">
        <f t="shared" si="21"/>
        <v>0</v>
      </c>
      <c r="AU26" s="44">
        <f t="shared" si="21"/>
        <v>0</v>
      </c>
    </row>
    <row r="27" spans="1:47">
      <c r="A27" s="31">
        <f t="shared" si="22"/>
        <v>12</v>
      </c>
      <c r="B27" s="55">
        <f>Metadata!C35</f>
        <v>0.66178329828912907</v>
      </c>
      <c r="C27" s="29"/>
      <c r="D27" s="22"/>
      <c r="E27" s="22"/>
      <c r="F27" s="46"/>
      <c r="G27" s="48">
        <f t="shared" si="1"/>
        <v>0</v>
      </c>
      <c r="H27" s="175">
        <f t="shared" si="2"/>
        <v>0</v>
      </c>
      <c r="I27" s="175">
        <f t="shared" si="3"/>
        <v>0</v>
      </c>
      <c r="J27" s="186">
        <f t="shared" si="4"/>
        <v>0</v>
      </c>
      <c r="K27" s="44">
        <f t="shared" si="5"/>
        <v>0</v>
      </c>
      <c r="L27" s="46"/>
      <c r="M27" s="22"/>
      <c r="N27" s="22"/>
      <c r="O27" s="46"/>
      <c r="P27" s="48">
        <f t="shared" si="6"/>
        <v>0</v>
      </c>
      <c r="Q27" s="175">
        <f t="shared" si="7"/>
        <v>0</v>
      </c>
      <c r="R27" s="175">
        <f t="shared" si="8"/>
        <v>0</v>
      </c>
      <c r="S27" s="186">
        <f t="shared" si="9"/>
        <v>0</v>
      </c>
      <c r="T27" s="44">
        <f t="shared" si="9"/>
        <v>0</v>
      </c>
      <c r="U27" s="46"/>
      <c r="V27" s="22"/>
      <c r="W27" s="22"/>
      <c r="X27" s="46"/>
      <c r="Y27" s="48">
        <f t="shared" si="10"/>
        <v>0</v>
      </c>
      <c r="Z27" s="175">
        <f t="shared" si="11"/>
        <v>0</v>
      </c>
      <c r="AA27" s="175">
        <f t="shared" si="12"/>
        <v>0</v>
      </c>
      <c r="AB27" s="186">
        <f t="shared" si="13"/>
        <v>0</v>
      </c>
      <c r="AC27" s="44">
        <f t="shared" si="13"/>
        <v>0</v>
      </c>
      <c r="AD27" s="46"/>
      <c r="AE27" s="22"/>
      <c r="AF27" s="22"/>
      <c r="AG27" s="46"/>
      <c r="AH27" s="48">
        <f t="shared" si="14"/>
        <v>0</v>
      </c>
      <c r="AI27" s="175">
        <f t="shared" si="15"/>
        <v>0</v>
      </c>
      <c r="AJ27" s="175">
        <f t="shared" si="16"/>
        <v>0</v>
      </c>
      <c r="AK27" s="186">
        <f t="shared" si="17"/>
        <v>0</v>
      </c>
      <c r="AL27" s="44">
        <f t="shared" si="17"/>
        <v>0</v>
      </c>
      <c r="AM27" s="46"/>
      <c r="AN27" s="22"/>
      <c r="AO27" s="22"/>
      <c r="AP27" s="46"/>
      <c r="AQ27" s="48">
        <f t="shared" si="18"/>
        <v>0</v>
      </c>
      <c r="AR27" s="175">
        <f t="shared" si="19"/>
        <v>0</v>
      </c>
      <c r="AS27" s="175">
        <f t="shared" si="20"/>
        <v>0</v>
      </c>
      <c r="AT27" s="186">
        <f t="shared" si="21"/>
        <v>0</v>
      </c>
      <c r="AU27" s="44">
        <f t="shared" si="21"/>
        <v>0</v>
      </c>
    </row>
    <row r="28" spans="1:47">
      <c r="A28" s="31">
        <f t="shared" si="22"/>
        <v>13</v>
      </c>
      <c r="B28" s="55">
        <f>Metadata!C36</f>
        <v>0.63940415293635666</v>
      </c>
      <c r="C28" s="29"/>
      <c r="D28" s="22"/>
      <c r="E28" s="22"/>
      <c r="F28" s="46"/>
      <c r="G28" s="48">
        <f t="shared" si="1"/>
        <v>0</v>
      </c>
      <c r="H28" s="175">
        <f t="shared" si="2"/>
        <v>0</v>
      </c>
      <c r="I28" s="175">
        <f t="shared" si="3"/>
        <v>0</v>
      </c>
      <c r="J28" s="186">
        <f t="shared" si="4"/>
        <v>0</v>
      </c>
      <c r="K28" s="44">
        <f t="shared" si="5"/>
        <v>0</v>
      </c>
      <c r="L28" s="46"/>
      <c r="M28" s="22"/>
      <c r="N28" s="22"/>
      <c r="O28" s="46"/>
      <c r="P28" s="48">
        <f t="shared" si="6"/>
        <v>0</v>
      </c>
      <c r="Q28" s="175">
        <f t="shared" si="7"/>
        <v>0</v>
      </c>
      <c r="R28" s="175">
        <f t="shared" si="8"/>
        <v>0</v>
      </c>
      <c r="S28" s="186">
        <f t="shared" si="9"/>
        <v>0</v>
      </c>
      <c r="T28" s="44">
        <f t="shared" si="9"/>
        <v>0</v>
      </c>
      <c r="U28" s="46"/>
      <c r="V28" s="22"/>
      <c r="W28" s="22"/>
      <c r="X28" s="46"/>
      <c r="Y28" s="48">
        <f t="shared" si="10"/>
        <v>0</v>
      </c>
      <c r="Z28" s="175">
        <f t="shared" si="11"/>
        <v>0</v>
      </c>
      <c r="AA28" s="175">
        <f t="shared" si="12"/>
        <v>0</v>
      </c>
      <c r="AB28" s="186">
        <f t="shared" si="13"/>
        <v>0</v>
      </c>
      <c r="AC28" s="44">
        <f t="shared" si="13"/>
        <v>0</v>
      </c>
      <c r="AD28" s="46"/>
      <c r="AE28" s="22"/>
      <c r="AF28" s="22"/>
      <c r="AG28" s="46"/>
      <c r="AH28" s="48">
        <f t="shared" si="14"/>
        <v>0</v>
      </c>
      <c r="AI28" s="175">
        <f t="shared" si="15"/>
        <v>0</v>
      </c>
      <c r="AJ28" s="175">
        <f t="shared" si="16"/>
        <v>0</v>
      </c>
      <c r="AK28" s="186">
        <f t="shared" si="17"/>
        <v>0</v>
      </c>
      <c r="AL28" s="44">
        <f t="shared" si="17"/>
        <v>0</v>
      </c>
      <c r="AM28" s="46"/>
      <c r="AN28" s="22"/>
      <c r="AO28" s="22"/>
      <c r="AP28" s="46"/>
      <c r="AQ28" s="48">
        <f t="shared" si="18"/>
        <v>0</v>
      </c>
      <c r="AR28" s="175">
        <f t="shared" si="19"/>
        <v>0</v>
      </c>
      <c r="AS28" s="175">
        <f t="shared" si="20"/>
        <v>0</v>
      </c>
      <c r="AT28" s="186">
        <f t="shared" si="21"/>
        <v>0</v>
      </c>
      <c r="AU28" s="44">
        <f t="shared" si="21"/>
        <v>0</v>
      </c>
    </row>
    <row r="29" spans="1:47">
      <c r="A29" s="31">
        <f t="shared" si="22"/>
        <v>14</v>
      </c>
      <c r="B29" s="55">
        <f>Metadata!C37</f>
        <v>0.61778179027667313</v>
      </c>
      <c r="C29" s="29"/>
      <c r="D29" s="22"/>
      <c r="E29" s="22"/>
      <c r="F29" s="46"/>
      <c r="G29" s="48">
        <f t="shared" si="1"/>
        <v>0</v>
      </c>
      <c r="H29" s="175">
        <f t="shared" si="2"/>
        <v>0</v>
      </c>
      <c r="I29" s="175">
        <f t="shared" si="3"/>
        <v>0</v>
      </c>
      <c r="J29" s="186">
        <f t="shared" si="4"/>
        <v>0</v>
      </c>
      <c r="K29" s="44">
        <f t="shared" si="5"/>
        <v>0</v>
      </c>
      <c r="L29" s="46"/>
      <c r="M29" s="22"/>
      <c r="N29" s="22"/>
      <c r="O29" s="46"/>
      <c r="P29" s="48">
        <f t="shared" si="6"/>
        <v>0</v>
      </c>
      <c r="Q29" s="175">
        <f t="shared" si="7"/>
        <v>0</v>
      </c>
      <c r="R29" s="175">
        <f t="shared" si="8"/>
        <v>0</v>
      </c>
      <c r="S29" s="186">
        <f t="shared" si="9"/>
        <v>0</v>
      </c>
      <c r="T29" s="44">
        <f t="shared" si="9"/>
        <v>0</v>
      </c>
      <c r="U29" s="46"/>
      <c r="V29" s="22"/>
      <c r="W29" s="22"/>
      <c r="X29" s="46"/>
      <c r="Y29" s="48">
        <f t="shared" si="10"/>
        <v>0</v>
      </c>
      <c r="Z29" s="175">
        <f t="shared" si="11"/>
        <v>0</v>
      </c>
      <c r="AA29" s="175">
        <f t="shared" si="12"/>
        <v>0</v>
      </c>
      <c r="AB29" s="186">
        <f t="shared" si="13"/>
        <v>0</v>
      </c>
      <c r="AC29" s="44">
        <f t="shared" si="13"/>
        <v>0</v>
      </c>
      <c r="AD29" s="46"/>
      <c r="AE29" s="22"/>
      <c r="AF29" s="22"/>
      <c r="AG29" s="46"/>
      <c r="AH29" s="48">
        <f t="shared" si="14"/>
        <v>0</v>
      </c>
      <c r="AI29" s="175">
        <f t="shared" si="15"/>
        <v>0</v>
      </c>
      <c r="AJ29" s="175">
        <f t="shared" si="16"/>
        <v>0</v>
      </c>
      <c r="AK29" s="186">
        <f t="shared" si="17"/>
        <v>0</v>
      </c>
      <c r="AL29" s="44">
        <f t="shared" si="17"/>
        <v>0</v>
      </c>
      <c r="AM29" s="46"/>
      <c r="AN29" s="22"/>
      <c r="AO29" s="22"/>
      <c r="AP29" s="46"/>
      <c r="AQ29" s="48">
        <f t="shared" si="18"/>
        <v>0</v>
      </c>
      <c r="AR29" s="175">
        <f t="shared" si="19"/>
        <v>0</v>
      </c>
      <c r="AS29" s="175">
        <f t="shared" si="20"/>
        <v>0</v>
      </c>
      <c r="AT29" s="186">
        <f t="shared" si="21"/>
        <v>0</v>
      </c>
      <c r="AU29" s="44">
        <f t="shared" si="21"/>
        <v>0</v>
      </c>
    </row>
    <row r="30" spans="1:47">
      <c r="A30" s="31">
        <f t="shared" si="22"/>
        <v>15</v>
      </c>
      <c r="B30" s="55">
        <f>Metadata!C38</f>
        <v>0.59689061862480497</v>
      </c>
      <c r="C30" s="29"/>
      <c r="D30" s="22"/>
      <c r="E30" s="22"/>
      <c r="F30" s="46"/>
      <c r="G30" s="48">
        <f t="shared" si="1"/>
        <v>0</v>
      </c>
      <c r="H30" s="175">
        <f t="shared" si="2"/>
        <v>0</v>
      </c>
      <c r="I30" s="175">
        <f t="shared" si="3"/>
        <v>0</v>
      </c>
      <c r="J30" s="186">
        <f t="shared" si="4"/>
        <v>0</v>
      </c>
      <c r="K30" s="44">
        <f t="shared" si="5"/>
        <v>0</v>
      </c>
      <c r="L30" s="46"/>
      <c r="M30" s="22"/>
      <c r="N30" s="22"/>
      <c r="O30" s="46"/>
      <c r="P30" s="48">
        <f t="shared" si="6"/>
        <v>0</v>
      </c>
      <c r="Q30" s="175">
        <f t="shared" si="7"/>
        <v>0</v>
      </c>
      <c r="R30" s="175">
        <f t="shared" si="8"/>
        <v>0</v>
      </c>
      <c r="S30" s="186">
        <f t="shared" si="9"/>
        <v>0</v>
      </c>
      <c r="T30" s="44">
        <f t="shared" si="9"/>
        <v>0</v>
      </c>
      <c r="U30" s="46"/>
      <c r="V30" s="22"/>
      <c r="W30" s="22"/>
      <c r="X30" s="46"/>
      <c r="Y30" s="48">
        <f t="shared" si="10"/>
        <v>0</v>
      </c>
      <c r="Z30" s="175">
        <f t="shared" si="11"/>
        <v>0</v>
      </c>
      <c r="AA30" s="175">
        <f t="shared" si="12"/>
        <v>0</v>
      </c>
      <c r="AB30" s="186">
        <f t="shared" si="13"/>
        <v>0</v>
      </c>
      <c r="AC30" s="44">
        <f t="shared" si="13"/>
        <v>0</v>
      </c>
      <c r="AD30" s="46"/>
      <c r="AE30" s="22"/>
      <c r="AF30" s="22"/>
      <c r="AG30" s="46"/>
      <c r="AH30" s="48">
        <f t="shared" si="14"/>
        <v>0</v>
      </c>
      <c r="AI30" s="175">
        <f t="shared" si="15"/>
        <v>0</v>
      </c>
      <c r="AJ30" s="175">
        <f t="shared" si="16"/>
        <v>0</v>
      </c>
      <c r="AK30" s="186">
        <f t="shared" si="17"/>
        <v>0</v>
      </c>
      <c r="AL30" s="44">
        <f t="shared" si="17"/>
        <v>0</v>
      </c>
      <c r="AM30" s="46"/>
      <c r="AN30" s="22"/>
      <c r="AO30" s="22"/>
      <c r="AP30" s="46"/>
      <c r="AQ30" s="48">
        <f t="shared" si="18"/>
        <v>0</v>
      </c>
      <c r="AR30" s="175">
        <f t="shared" si="19"/>
        <v>0</v>
      </c>
      <c r="AS30" s="175">
        <f t="shared" si="20"/>
        <v>0</v>
      </c>
      <c r="AT30" s="186">
        <f t="shared" si="21"/>
        <v>0</v>
      </c>
      <c r="AU30" s="44">
        <f t="shared" si="21"/>
        <v>0</v>
      </c>
    </row>
    <row r="31" spans="1:47">
      <c r="A31" s="31">
        <f t="shared" si="22"/>
        <v>16</v>
      </c>
      <c r="B31" s="55">
        <f>Metadata!C39</f>
        <v>0.57670591171478747</v>
      </c>
      <c r="C31" s="29"/>
      <c r="D31" s="22"/>
      <c r="E31" s="22"/>
      <c r="F31" s="46"/>
      <c r="G31" s="48">
        <f t="shared" si="1"/>
        <v>0</v>
      </c>
      <c r="H31" s="175">
        <f t="shared" si="2"/>
        <v>0</v>
      </c>
      <c r="I31" s="175">
        <f t="shared" si="3"/>
        <v>0</v>
      </c>
      <c r="J31" s="186">
        <f t="shared" si="4"/>
        <v>0</v>
      </c>
      <c r="K31" s="44">
        <f t="shared" si="5"/>
        <v>0</v>
      </c>
      <c r="L31" s="46"/>
      <c r="M31" s="22"/>
      <c r="N31" s="22"/>
      <c r="O31" s="46"/>
      <c r="P31" s="48">
        <f t="shared" si="6"/>
        <v>0</v>
      </c>
      <c r="Q31" s="175">
        <f t="shared" si="7"/>
        <v>0</v>
      </c>
      <c r="R31" s="175">
        <f t="shared" si="8"/>
        <v>0</v>
      </c>
      <c r="S31" s="186">
        <f t="shared" si="9"/>
        <v>0</v>
      </c>
      <c r="T31" s="44">
        <f t="shared" si="9"/>
        <v>0</v>
      </c>
      <c r="U31" s="46"/>
      <c r="V31" s="22"/>
      <c r="W31" s="22"/>
      <c r="X31" s="46"/>
      <c r="Y31" s="48">
        <f t="shared" si="10"/>
        <v>0</v>
      </c>
      <c r="Z31" s="175">
        <f t="shared" si="11"/>
        <v>0</v>
      </c>
      <c r="AA31" s="175">
        <f t="shared" si="12"/>
        <v>0</v>
      </c>
      <c r="AB31" s="186">
        <f t="shared" si="13"/>
        <v>0</v>
      </c>
      <c r="AC31" s="44">
        <f t="shared" si="13"/>
        <v>0</v>
      </c>
      <c r="AD31" s="46"/>
      <c r="AE31" s="22"/>
      <c r="AF31" s="22"/>
      <c r="AG31" s="46"/>
      <c r="AH31" s="48">
        <f t="shared" si="14"/>
        <v>0</v>
      </c>
      <c r="AI31" s="175">
        <f t="shared" si="15"/>
        <v>0</v>
      </c>
      <c r="AJ31" s="175">
        <f t="shared" si="16"/>
        <v>0</v>
      </c>
      <c r="AK31" s="186">
        <f t="shared" si="17"/>
        <v>0</v>
      </c>
      <c r="AL31" s="44">
        <f t="shared" si="17"/>
        <v>0</v>
      </c>
      <c r="AM31" s="46"/>
      <c r="AN31" s="22"/>
      <c r="AO31" s="22"/>
      <c r="AP31" s="46"/>
      <c r="AQ31" s="48">
        <f t="shared" si="18"/>
        <v>0</v>
      </c>
      <c r="AR31" s="175">
        <f t="shared" si="19"/>
        <v>0</v>
      </c>
      <c r="AS31" s="175">
        <f t="shared" si="20"/>
        <v>0</v>
      </c>
      <c r="AT31" s="186">
        <f t="shared" si="21"/>
        <v>0</v>
      </c>
      <c r="AU31" s="44">
        <f t="shared" si="21"/>
        <v>0</v>
      </c>
    </row>
    <row r="32" spans="1:47">
      <c r="A32" s="31">
        <f t="shared" si="22"/>
        <v>17</v>
      </c>
      <c r="B32" s="55">
        <f>Metadata!C40</f>
        <v>0.55720377943457733</v>
      </c>
      <c r="C32" s="29"/>
      <c r="D32" s="22"/>
      <c r="E32" s="22"/>
      <c r="F32" s="46"/>
      <c r="G32" s="48">
        <f t="shared" si="1"/>
        <v>0</v>
      </c>
      <c r="H32" s="175">
        <f t="shared" si="2"/>
        <v>0</v>
      </c>
      <c r="I32" s="175">
        <f t="shared" si="3"/>
        <v>0</v>
      </c>
      <c r="J32" s="186">
        <f t="shared" si="4"/>
        <v>0</v>
      </c>
      <c r="K32" s="44">
        <f t="shared" si="5"/>
        <v>0</v>
      </c>
      <c r="L32" s="46"/>
      <c r="M32" s="22"/>
      <c r="N32" s="22"/>
      <c r="O32" s="46"/>
      <c r="P32" s="48">
        <f t="shared" si="6"/>
        <v>0</v>
      </c>
      <c r="Q32" s="175">
        <f t="shared" si="7"/>
        <v>0</v>
      </c>
      <c r="R32" s="175">
        <f t="shared" si="8"/>
        <v>0</v>
      </c>
      <c r="S32" s="186">
        <f t="shared" si="9"/>
        <v>0</v>
      </c>
      <c r="T32" s="44">
        <f t="shared" si="9"/>
        <v>0</v>
      </c>
      <c r="U32" s="46"/>
      <c r="V32" s="22"/>
      <c r="W32" s="22"/>
      <c r="X32" s="46"/>
      <c r="Y32" s="48">
        <f t="shared" si="10"/>
        <v>0</v>
      </c>
      <c r="Z32" s="175">
        <f t="shared" si="11"/>
        <v>0</v>
      </c>
      <c r="AA32" s="175">
        <f t="shared" si="12"/>
        <v>0</v>
      </c>
      <c r="AB32" s="186">
        <f t="shared" si="13"/>
        <v>0</v>
      </c>
      <c r="AC32" s="44">
        <f t="shared" si="13"/>
        <v>0</v>
      </c>
      <c r="AD32" s="46"/>
      <c r="AE32" s="22"/>
      <c r="AF32" s="22"/>
      <c r="AG32" s="46"/>
      <c r="AH32" s="48">
        <f t="shared" si="14"/>
        <v>0</v>
      </c>
      <c r="AI32" s="175">
        <f t="shared" si="15"/>
        <v>0</v>
      </c>
      <c r="AJ32" s="175">
        <f t="shared" si="16"/>
        <v>0</v>
      </c>
      <c r="AK32" s="186">
        <f t="shared" si="17"/>
        <v>0</v>
      </c>
      <c r="AL32" s="44">
        <f t="shared" si="17"/>
        <v>0</v>
      </c>
      <c r="AM32" s="46"/>
      <c r="AN32" s="22"/>
      <c r="AO32" s="22"/>
      <c r="AP32" s="46"/>
      <c r="AQ32" s="48">
        <f t="shared" si="18"/>
        <v>0</v>
      </c>
      <c r="AR32" s="175">
        <f t="shared" si="19"/>
        <v>0</v>
      </c>
      <c r="AS32" s="175">
        <f t="shared" si="20"/>
        <v>0</v>
      </c>
      <c r="AT32" s="186">
        <f t="shared" si="21"/>
        <v>0</v>
      </c>
      <c r="AU32" s="44">
        <f t="shared" si="21"/>
        <v>0</v>
      </c>
    </row>
    <row r="33" spans="1:47">
      <c r="A33" s="31">
        <f t="shared" si="22"/>
        <v>18</v>
      </c>
      <c r="B33" s="55">
        <f>Metadata!C41</f>
        <v>0.53836113955031628</v>
      </c>
      <c r="C33" s="29"/>
      <c r="D33" s="22"/>
      <c r="E33" s="22"/>
      <c r="F33" s="46"/>
      <c r="G33" s="48">
        <f t="shared" si="1"/>
        <v>0</v>
      </c>
      <c r="H33" s="175">
        <f t="shared" si="2"/>
        <v>0</v>
      </c>
      <c r="I33" s="175">
        <f t="shared" si="3"/>
        <v>0</v>
      </c>
      <c r="J33" s="186">
        <f t="shared" si="4"/>
        <v>0</v>
      </c>
      <c r="K33" s="44">
        <f t="shared" si="5"/>
        <v>0</v>
      </c>
      <c r="L33" s="46"/>
      <c r="M33" s="22"/>
      <c r="N33" s="22"/>
      <c r="O33" s="46"/>
      <c r="P33" s="48">
        <f t="shared" si="6"/>
        <v>0</v>
      </c>
      <c r="Q33" s="175">
        <f t="shared" si="7"/>
        <v>0</v>
      </c>
      <c r="R33" s="175">
        <f t="shared" si="8"/>
        <v>0</v>
      </c>
      <c r="S33" s="186">
        <f t="shared" si="9"/>
        <v>0</v>
      </c>
      <c r="T33" s="44">
        <f t="shared" si="9"/>
        <v>0</v>
      </c>
      <c r="U33" s="46"/>
      <c r="V33" s="22"/>
      <c r="W33" s="22"/>
      <c r="X33" s="46"/>
      <c r="Y33" s="48">
        <f t="shared" si="10"/>
        <v>0</v>
      </c>
      <c r="Z33" s="175">
        <f t="shared" si="11"/>
        <v>0</v>
      </c>
      <c r="AA33" s="175">
        <f t="shared" si="12"/>
        <v>0</v>
      </c>
      <c r="AB33" s="186">
        <f t="shared" si="13"/>
        <v>0</v>
      </c>
      <c r="AC33" s="44">
        <f t="shared" si="13"/>
        <v>0</v>
      </c>
      <c r="AD33" s="46"/>
      <c r="AE33" s="22"/>
      <c r="AF33" s="22"/>
      <c r="AG33" s="46"/>
      <c r="AH33" s="48">
        <f t="shared" si="14"/>
        <v>0</v>
      </c>
      <c r="AI33" s="175">
        <f t="shared" si="15"/>
        <v>0</v>
      </c>
      <c r="AJ33" s="175">
        <f t="shared" si="16"/>
        <v>0</v>
      </c>
      <c r="AK33" s="186">
        <f t="shared" si="17"/>
        <v>0</v>
      </c>
      <c r="AL33" s="44">
        <f t="shared" si="17"/>
        <v>0</v>
      </c>
      <c r="AM33" s="46"/>
      <c r="AN33" s="22"/>
      <c r="AO33" s="22"/>
      <c r="AP33" s="46"/>
      <c r="AQ33" s="48">
        <f t="shared" si="18"/>
        <v>0</v>
      </c>
      <c r="AR33" s="175">
        <f t="shared" si="19"/>
        <v>0</v>
      </c>
      <c r="AS33" s="175">
        <f t="shared" si="20"/>
        <v>0</v>
      </c>
      <c r="AT33" s="186">
        <f t="shared" si="21"/>
        <v>0</v>
      </c>
      <c r="AU33" s="44">
        <f t="shared" si="21"/>
        <v>0</v>
      </c>
    </row>
    <row r="34" spans="1:47">
      <c r="A34" s="31">
        <f t="shared" si="22"/>
        <v>19</v>
      </c>
      <c r="B34" s="55">
        <f>Metadata!C42</f>
        <v>0.520155690386779</v>
      </c>
      <c r="C34" s="29"/>
      <c r="D34" s="22"/>
      <c r="E34" s="22"/>
      <c r="F34" s="46"/>
      <c r="G34" s="48">
        <f t="shared" si="1"/>
        <v>0</v>
      </c>
      <c r="H34" s="175">
        <f t="shared" si="2"/>
        <v>0</v>
      </c>
      <c r="I34" s="175">
        <f t="shared" si="3"/>
        <v>0</v>
      </c>
      <c r="J34" s="186">
        <f t="shared" si="4"/>
        <v>0</v>
      </c>
      <c r="K34" s="44">
        <f t="shared" si="5"/>
        <v>0</v>
      </c>
      <c r="L34" s="46"/>
      <c r="M34" s="22"/>
      <c r="N34" s="22"/>
      <c r="O34" s="46"/>
      <c r="P34" s="48">
        <f t="shared" si="6"/>
        <v>0</v>
      </c>
      <c r="Q34" s="175">
        <f t="shared" si="7"/>
        <v>0</v>
      </c>
      <c r="R34" s="175">
        <f t="shared" si="8"/>
        <v>0</v>
      </c>
      <c r="S34" s="186">
        <f t="shared" si="9"/>
        <v>0</v>
      </c>
      <c r="T34" s="44">
        <f t="shared" si="9"/>
        <v>0</v>
      </c>
      <c r="U34" s="46"/>
      <c r="V34" s="22"/>
      <c r="W34" s="22"/>
      <c r="X34" s="46"/>
      <c r="Y34" s="48">
        <f t="shared" si="10"/>
        <v>0</v>
      </c>
      <c r="Z34" s="175">
        <f t="shared" si="11"/>
        <v>0</v>
      </c>
      <c r="AA34" s="175">
        <f t="shared" si="12"/>
        <v>0</v>
      </c>
      <c r="AB34" s="186">
        <f t="shared" si="13"/>
        <v>0</v>
      </c>
      <c r="AC34" s="44">
        <f t="shared" si="13"/>
        <v>0</v>
      </c>
      <c r="AD34" s="46"/>
      <c r="AE34" s="22"/>
      <c r="AF34" s="22"/>
      <c r="AG34" s="46"/>
      <c r="AH34" s="48">
        <f t="shared" si="14"/>
        <v>0</v>
      </c>
      <c r="AI34" s="175">
        <f t="shared" si="15"/>
        <v>0</v>
      </c>
      <c r="AJ34" s="175">
        <f t="shared" si="16"/>
        <v>0</v>
      </c>
      <c r="AK34" s="186">
        <f t="shared" si="17"/>
        <v>0</v>
      </c>
      <c r="AL34" s="44">
        <f t="shared" si="17"/>
        <v>0</v>
      </c>
      <c r="AM34" s="46"/>
      <c r="AN34" s="22"/>
      <c r="AO34" s="22"/>
      <c r="AP34" s="46"/>
      <c r="AQ34" s="48">
        <f t="shared" si="18"/>
        <v>0</v>
      </c>
      <c r="AR34" s="175">
        <f t="shared" si="19"/>
        <v>0</v>
      </c>
      <c r="AS34" s="175">
        <f t="shared" si="20"/>
        <v>0</v>
      </c>
      <c r="AT34" s="186">
        <f t="shared" si="21"/>
        <v>0</v>
      </c>
      <c r="AU34" s="44">
        <f t="shared" si="21"/>
        <v>0</v>
      </c>
    </row>
    <row r="35" spans="1:47">
      <c r="A35" s="31">
        <f t="shared" si="22"/>
        <v>20</v>
      </c>
      <c r="B35" s="55">
        <f>Metadata!C43</f>
        <v>0.50256588443167061</v>
      </c>
      <c r="C35" s="29"/>
      <c r="D35" s="22"/>
      <c r="E35" s="22"/>
      <c r="F35" s="46"/>
      <c r="G35" s="48">
        <f t="shared" si="1"/>
        <v>0</v>
      </c>
      <c r="H35" s="175">
        <f t="shared" si="2"/>
        <v>0</v>
      </c>
      <c r="I35" s="175">
        <f t="shared" si="3"/>
        <v>0</v>
      </c>
      <c r="J35" s="186">
        <f t="shared" si="4"/>
        <v>0</v>
      </c>
      <c r="K35" s="44">
        <f t="shared" si="5"/>
        <v>0</v>
      </c>
      <c r="L35" s="46"/>
      <c r="M35" s="22"/>
      <c r="N35" s="22"/>
      <c r="O35" s="46"/>
      <c r="P35" s="48">
        <f t="shared" si="6"/>
        <v>0</v>
      </c>
      <c r="Q35" s="175">
        <f t="shared" si="7"/>
        <v>0</v>
      </c>
      <c r="R35" s="175">
        <f t="shared" si="8"/>
        <v>0</v>
      </c>
      <c r="S35" s="186">
        <f t="shared" si="9"/>
        <v>0</v>
      </c>
      <c r="T35" s="44">
        <f t="shared" si="9"/>
        <v>0</v>
      </c>
      <c r="U35" s="46"/>
      <c r="V35" s="22"/>
      <c r="W35" s="22"/>
      <c r="X35" s="46"/>
      <c r="Y35" s="48">
        <f t="shared" si="10"/>
        <v>0</v>
      </c>
      <c r="Z35" s="175">
        <f t="shared" si="11"/>
        <v>0</v>
      </c>
      <c r="AA35" s="175">
        <f t="shared" si="12"/>
        <v>0</v>
      </c>
      <c r="AB35" s="186">
        <f t="shared" si="13"/>
        <v>0</v>
      </c>
      <c r="AC35" s="44">
        <f t="shared" si="13"/>
        <v>0</v>
      </c>
      <c r="AD35" s="46"/>
      <c r="AE35" s="22"/>
      <c r="AF35" s="22"/>
      <c r="AG35" s="46"/>
      <c r="AH35" s="48">
        <f t="shared" si="14"/>
        <v>0</v>
      </c>
      <c r="AI35" s="175">
        <f t="shared" si="15"/>
        <v>0</v>
      </c>
      <c r="AJ35" s="175">
        <f t="shared" si="16"/>
        <v>0</v>
      </c>
      <c r="AK35" s="186">
        <f t="shared" si="17"/>
        <v>0</v>
      </c>
      <c r="AL35" s="44">
        <f t="shared" si="17"/>
        <v>0</v>
      </c>
      <c r="AM35" s="46"/>
      <c r="AN35" s="22"/>
      <c r="AO35" s="22"/>
      <c r="AP35" s="46"/>
      <c r="AQ35" s="48">
        <f t="shared" si="18"/>
        <v>0</v>
      </c>
      <c r="AR35" s="175">
        <f t="shared" si="19"/>
        <v>0</v>
      </c>
      <c r="AS35" s="175">
        <f t="shared" si="20"/>
        <v>0</v>
      </c>
      <c r="AT35" s="186">
        <f t="shared" si="21"/>
        <v>0</v>
      </c>
      <c r="AU35" s="44">
        <f t="shared" si="21"/>
        <v>0</v>
      </c>
    </row>
    <row r="36" spans="1:47">
      <c r="A36" s="31">
        <f t="shared" si="22"/>
        <v>21</v>
      </c>
      <c r="B36" s="55">
        <f>Metadata!C44</f>
        <v>0.48557090283253201</v>
      </c>
      <c r="C36" s="29"/>
      <c r="D36" s="22"/>
      <c r="E36" s="22"/>
      <c r="F36" s="46"/>
      <c r="G36" s="48">
        <f t="shared" si="1"/>
        <v>0</v>
      </c>
      <c r="H36" s="175">
        <f t="shared" si="2"/>
        <v>0</v>
      </c>
      <c r="I36" s="175">
        <f t="shared" si="3"/>
        <v>0</v>
      </c>
      <c r="J36" s="186">
        <f t="shared" si="4"/>
        <v>0</v>
      </c>
      <c r="K36" s="44">
        <f t="shared" si="5"/>
        <v>0</v>
      </c>
      <c r="L36" s="46"/>
      <c r="M36" s="22"/>
      <c r="N36" s="22"/>
      <c r="O36" s="46"/>
      <c r="P36" s="48">
        <f t="shared" si="6"/>
        <v>0</v>
      </c>
      <c r="Q36" s="175">
        <f t="shared" si="7"/>
        <v>0</v>
      </c>
      <c r="R36" s="175">
        <f t="shared" si="8"/>
        <v>0</v>
      </c>
      <c r="S36" s="186">
        <f t="shared" si="9"/>
        <v>0</v>
      </c>
      <c r="T36" s="44">
        <f t="shared" si="9"/>
        <v>0</v>
      </c>
      <c r="U36" s="46"/>
      <c r="V36" s="22"/>
      <c r="W36" s="22"/>
      <c r="X36" s="46"/>
      <c r="Y36" s="48">
        <f t="shared" si="10"/>
        <v>0</v>
      </c>
      <c r="Z36" s="175">
        <f t="shared" si="11"/>
        <v>0</v>
      </c>
      <c r="AA36" s="175">
        <f t="shared" si="12"/>
        <v>0</v>
      </c>
      <c r="AB36" s="186">
        <f t="shared" si="13"/>
        <v>0</v>
      </c>
      <c r="AC36" s="44">
        <f t="shared" si="13"/>
        <v>0</v>
      </c>
      <c r="AD36" s="46"/>
      <c r="AE36" s="22"/>
      <c r="AF36" s="22"/>
      <c r="AG36" s="46"/>
      <c r="AH36" s="48">
        <f t="shared" si="14"/>
        <v>0</v>
      </c>
      <c r="AI36" s="175">
        <f t="shared" si="15"/>
        <v>0</v>
      </c>
      <c r="AJ36" s="175">
        <f t="shared" si="16"/>
        <v>0</v>
      </c>
      <c r="AK36" s="186">
        <f t="shared" si="17"/>
        <v>0</v>
      </c>
      <c r="AL36" s="44">
        <f t="shared" si="17"/>
        <v>0</v>
      </c>
      <c r="AM36" s="46"/>
      <c r="AN36" s="22"/>
      <c r="AO36" s="22"/>
      <c r="AP36" s="46"/>
      <c r="AQ36" s="48">
        <f t="shared" si="18"/>
        <v>0</v>
      </c>
      <c r="AR36" s="175">
        <f t="shared" si="19"/>
        <v>0</v>
      </c>
      <c r="AS36" s="175">
        <f t="shared" si="20"/>
        <v>0</v>
      </c>
      <c r="AT36" s="186">
        <f t="shared" si="21"/>
        <v>0</v>
      </c>
      <c r="AU36" s="44">
        <f t="shared" si="21"/>
        <v>0</v>
      </c>
    </row>
    <row r="37" spans="1:47">
      <c r="A37" s="31">
        <f t="shared" si="22"/>
        <v>22</v>
      </c>
      <c r="B37" s="55">
        <f>Metadata!C45</f>
        <v>0.46915063075606961</v>
      </c>
      <c r="C37" s="29"/>
      <c r="D37" s="22"/>
      <c r="E37" s="22"/>
      <c r="F37" s="46"/>
      <c r="G37" s="48">
        <f t="shared" si="1"/>
        <v>0</v>
      </c>
      <c r="H37" s="175">
        <f t="shared" si="2"/>
        <v>0</v>
      </c>
      <c r="I37" s="175">
        <f t="shared" si="3"/>
        <v>0</v>
      </c>
      <c r="J37" s="186">
        <f t="shared" si="4"/>
        <v>0</v>
      </c>
      <c r="K37" s="44">
        <f t="shared" si="5"/>
        <v>0</v>
      </c>
      <c r="L37" s="46"/>
      <c r="M37" s="22"/>
      <c r="N37" s="22"/>
      <c r="O37" s="46"/>
      <c r="P37" s="48">
        <f t="shared" si="6"/>
        <v>0</v>
      </c>
      <c r="Q37" s="175">
        <f t="shared" si="7"/>
        <v>0</v>
      </c>
      <c r="R37" s="175">
        <f t="shared" si="8"/>
        <v>0</v>
      </c>
      <c r="S37" s="186">
        <f t="shared" si="9"/>
        <v>0</v>
      </c>
      <c r="T37" s="44">
        <f t="shared" si="9"/>
        <v>0</v>
      </c>
      <c r="U37" s="46"/>
      <c r="V37" s="22"/>
      <c r="W37" s="22"/>
      <c r="X37" s="46"/>
      <c r="Y37" s="48">
        <f t="shared" si="10"/>
        <v>0</v>
      </c>
      <c r="Z37" s="175">
        <f t="shared" si="11"/>
        <v>0</v>
      </c>
      <c r="AA37" s="175">
        <f t="shared" si="12"/>
        <v>0</v>
      </c>
      <c r="AB37" s="186">
        <f t="shared" si="13"/>
        <v>0</v>
      </c>
      <c r="AC37" s="44">
        <f t="shared" si="13"/>
        <v>0</v>
      </c>
      <c r="AD37" s="46"/>
      <c r="AE37" s="22"/>
      <c r="AF37" s="22"/>
      <c r="AG37" s="46"/>
      <c r="AH37" s="48">
        <f t="shared" si="14"/>
        <v>0</v>
      </c>
      <c r="AI37" s="175">
        <f t="shared" si="15"/>
        <v>0</v>
      </c>
      <c r="AJ37" s="175">
        <f t="shared" si="16"/>
        <v>0</v>
      </c>
      <c r="AK37" s="186">
        <f t="shared" si="17"/>
        <v>0</v>
      </c>
      <c r="AL37" s="44">
        <f t="shared" si="17"/>
        <v>0</v>
      </c>
      <c r="AM37" s="46"/>
      <c r="AN37" s="22"/>
      <c r="AO37" s="22"/>
      <c r="AP37" s="46"/>
      <c r="AQ37" s="48">
        <f t="shared" si="18"/>
        <v>0</v>
      </c>
      <c r="AR37" s="175">
        <f t="shared" si="19"/>
        <v>0</v>
      </c>
      <c r="AS37" s="175">
        <f t="shared" si="20"/>
        <v>0</v>
      </c>
      <c r="AT37" s="186">
        <f t="shared" si="21"/>
        <v>0</v>
      </c>
      <c r="AU37" s="44">
        <f t="shared" si="21"/>
        <v>0</v>
      </c>
    </row>
    <row r="38" spans="1:47">
      <c r="A38" s="31">
        <f t="shared" si="22"/>
        <v>23</v>
      </c>
      <c r="B38" s="55">
        <f>Metadata!C46</f>
        <v>0.45328563358074364</v>
      </c>
      <c r="C38" s="29"/>
      <c r="D38" s="22"/>
      <c r="E38" s="22"/>
      <c r="F38" s="46"/>
      <c r="G38" s="48">
        <f t="shared" si="1"/>
        <v>0</v>
      </c>
      <c r="H38" s="175">
        <f t="shared" si="2"/>
        <v>0</v>
      </c>
      <c r="I38" s="175">
        <f t="shared" si="3"/>
        <v>0</v>
      </c>
      <c r="J38" s="186">
        <f t="shared" si="4"/>
        <v>0</v>
      </c>
      <c r="K38" s="44">
        <f t="shared" si="5"/>
        <v>0</v>
      </c>
      <c r="L38" s="46"/>
      <c r="M38" s="22"/>
      <c r="N38" s="22"/>
      <c r="O38" s="46"/>
      <c r="P38" s="48">
        <f t="shared" si="6"/>
        <v>0</v>
      </c>
      <c r="Q38" s="175">
        <f t="shared" si="7"/>
        <v>0</v>
      </c>
      <c r="R38" s="175">
        <f t="shared" si="8"/>
        <v>0</v>
      </c>
      <c r="S38" s="186">
        <f t="shared" si="9"/>
        <v>0</v>
      </c>
      <c r="T38" s="44">
        <f t="shared" si="9"/>
        <v>0</v>
      </c>
      <c r="U38" s="46"/>
      <c r="V38" s="22"/>
      <c r="W38" s="22"/>
      <c r="X38" s="46"/>
      <c r="Y38" s="48">
        <f t="shared" si="10"/>
        <v>0</v>
      </c>
      <c r="Z38" s="175">
        <f t="shared" si="11"/>
        <v>0</v>
      </c>
      <c r="AA38" s="175">
        <f t="shared" si="12"/>
        <v>0</v>
      </c>
      <c r="AB38" s="186">
        <f t="shared" si="13"/>
        <v>0</v>
      </c>
      <c r="AC38" s="44">
        <f t="shared" si="13"/>
        <v>0</v>
      </c>
      <c r="AD38" s="46"/>
      <c r="AE38" s="22"/>
      <c r="AF38" s="22"/>
      <c r="AG38" s="46"/>
      <c r="AH38" s="48">
        <f t="shared" si="14"/>
        <v>0</v>
      </c>
      <c r="AI38" s="175">
        <f t="shared" si="15"/>
        <v>0</v>
      </c>
      <c r="AJ38" s="175">
        <f t="shared" si="16"/>
        <v>0</v>
      </c>
      <c r="AK38" s="186">
        <f t="shared" si="17"/>
        <v>0</v>
      </c>
      <c r="AL38" s="44">
        <f t="shared" si="17"/>
        <v>0</v>
      </c>
      <c r="AM38" s="46"/>
      <c r="AN38" s="22"/>
      <c r="AO38" s="22"/>
      <c r="AP38" s="46"/>
      <c r="AQ38" s="48">
        <f t="shared" si="18"/>
        <v>0</v>
      </c>
      <c r="AR38" s="175">
        <f t="shared" si="19"/>
        <v>0</v>
      </c>
      <c r="AS38" s="175">
        <f t="shared" si="20"/>
        <v>0</v>
      </c>
      <c r="AT38" s="186">
        <f t="shared" si="21"/>
        <v>0</v>
      </c>
      <c r="AU38" s="44">
        <f t="shared" si="21"/>
        <v>0</v>
      </c>
    </row>
    <row r="39" spans="1:47">
      <c r="A39" s="31">
        <f t="shared" si="22"/>
        <v>24</v>
      </c>
      <c r="B39" s="55">
        <f>Metadata!C47</f>
        <v>0.43795713389443836</v>
      </c>
      <c r="C39" s="29"/>
      <c r="D39" s="22"/>
      <c r="E39" s="22"/>
      <c r="F39" s="46"/>
      <c r="G39" s="48">
        <f t="shared" si="1"/>
        <v>0</v>
      </c>
      <c r="H39" s="175">
        <f t="shared" si="2"/>
        <v>0</v>
      </c>
      <c r="I39" s="175">
        <f t="shared" si="3"/>
        <v>0</v>
      </c>
      <c r="J39" s="186">
        <f t="shared" si="4"/>
        <v>0</v>
      </c>
      <c r="K39" s="44">
        <f t="shared" si="5"/>
        <v>0</v>
      </c>
      <c r="L39" s="46"/>
      <c r="M39" s="22"/>
      <c r="N39" s="22"/>
      <c r="O39" s="46"/>
      <c r="P39" s="48">
        <f t="shared" si="6"/>
        <v>0</v>
      </c>
      <c r="Q39" s="175">
        <f t="shared" si="7"/>
        <v>0</v>
      </c>
      <c r="R39" s="175">
        <f t="shared" si="8"/>
        <v>0</v>
      </c>
      <c r="S39" s="186">
        <f t="shared" si="9"/>
        <v>0</v>
      </c>
      <c r="T39" s="44">
        <f t="shared" si="9"/>
        <v>0</v>
      </c>
      <c r="U39" s="46"/>
      <c r="V39" s="22"/>
      <c r="W39" s="22"/>
      <c r="X39" s="46"/>
      <c r="Y39" s="48">
        <f t="shared" si="10"/>
        <v>0</v>
      </c>
      <c r="Z39" s="175">
        <f t="shared" si="11"/>
        <v>0</v>
      </c>
      <c r="AA39" s="175">
        <f t="shared" si="12"/>
        <v>0</v>
      </c>
      <c r="AB39" s="186">
        <f t="shared" si="13"/>
        <v>0</v>
      </c>
      <c r="AC39" s="44">
        <f t="shared" si="13"/>
        <v>0</v>
      </c>
      <c r="AD39" s="46"/>
      <c r="AE39" s="22"/>
      <c r="AF39" s="22"/>
      <c r="AG39" s="46"/>
      <c r="AH39" s="48">
        <f t="shared" si="14"/>
        <v>0</v>
      </c>
      <c r="AI39" s="175">
        <f t="shared" si="15"/>
        <v>0</v>
      </c>
      <c r="AJ39" s="175">
        <f t="shared" si="16"/>
        <v>0</v>
      </c>
      <c r="AK39" s="186">
        <f t="shared" si="17"/>
        <v>0</v>
      </c>
      <c r="AL39" s="44">
        <f t="shared" si="17"/>
        <v>0</v>
      </c>
      <c r="AM39" s="46"/>
      <c r="AN39" s="22"/>
      <c r="AO39" s="22"/>
      <c r="AP39" s="46"/>
      <c r="AQ39" s="48">
        <f t="shared" si="18"/>
        <v>0</v>
      </c>
      <c r="AR39" s="175">
        <f t="shared" si="19"/>
        <v>0</v>
      </c>
      <c r="AS39" s="175">
        <f t="shared" si="20"/>
        <v>0</v>
      </c>
      <c r="AT39" s="186">
        <f t="shared" si="21"/>
        <v>0</v>
      </c>
      <c r="AU39" s="44">
        <f t="shared" si="21"/>
        <v>0</v>
      </c>
    </row>
    <row r="40" spans="1:47">
      <c r="A40" s="31">
        <f t="shared" si="22"/>
        <v>25</v>
      </c>
      <c r="B40" s="55">
        <f>Metadata!C48</f>
        <v>0.42314698926998878</v>
      </c>
      <c r="C40" s="29"/>
      <c r="D40" s="22"/>
      <c r="E40" s="22"/>
      <c r="F40" s="46"/>
      <c r="G40" s="48">
        <f t="shared" si="1"/>
        <v>0</v>
      </c>
      <c r="H40" s="175">
        <f t="shared" si="2"/>
        <v>0</v>
      </c>
      <c r="I40" s="175">
        <f t="shared" si="3"/>
        <v>0</v>
      </c>
      <c r="J40" s="186">
        <f t="shared" si="4"/>
        <v>0</v>
      </c>
      <c r="K40" s="44">
        <f t="shared" si="5"/>
        <v>0</v>
      </c>
      <c r="L40" s="46"/>
      <c r="M40" s="22"/>
      <c r="N40" s="22"/>
      <c r="O40" s="46"/>
      <c r="P40" s="48">
        <f t="shared" si="6"/>
        <v>0</v>
      </c>
      <c r="Q40" s="175">
        <f t="shared" si="7"/>
        <v>0</v>
      </c>
      <c r="R40" s="175">
        <f t="shared" si="8"/>
        <v>0</v>
      </c>
      <c r="S40" s="186">
        <f t="shared" si="9"/>
        <v>0</v>
      </c>
      <c r="T40" s="44">
        <f t="shared" si="9"/>
        <v>0</v>
      </c>
      <c r="U40" s="46"/>
      <c r="V40" s="22"/>
      <c r="W40" s="22"/>
      <c r="X40" s="46"/>
      <c r="Y40" s="48">
        <f t="shared" si="10"/>
        <v>0</v>
      </c>
      <c r="Z40" s="175">
        <f t="shared" si="11"/>
        <v>0</v>
      </c>
      <c r="AA40" s="175">
        <f t="shared" si="12"/>
        <v>0</v>
      </c>
      <c r="AB40" s="186">
        <f t="shared" si="13"/>
        <v>0</v>
      </c>
      <c r="AC40" s="44">
        <f t="shared" si="13"/>
        <v>0</v>
      </c>
      <c r="AD40" s="46"/>
      <c r="AE40" s="22"/>
      <c r="AF40" s="22"/>
      <c r="AG40" s="46"/>
      <c r="AH40" s="48">
        <f t="shared" si="14"/>
        <v>0</v>
      </c>
      <c r="AI40" s="175">
        <f t="shared" si="15"/>
        <v>0</v>
      </c>
      <c r="AJ40" s="175">
        <f t="shared" si="16"/>
        <v>0</v>
      </c>
      <c r="AK40" s="186">
        <f t="shared" si="17"/>
        <v>0</v>
      </c>
      <c r="AL40" s="44">
        <f t="shared" si="17"/>
        <v>0</v>
      </c>
      <c r="AM40" s="46"/>
      <c r="AN40" s="22"/>
      <c r="AO40" s="22"/>
      <c r="AP40" s="46"/>
      <c r="AQ40" s="48">
        <f t="shared" si="18"/>
        <v>0</v>
      </c>
      <c r="AR40" s="175">
        <f t="shared" si="19"/>
        <v>0</v>
      </c>
      <c r="AS40" s="175">
        <f t="shared" si="20"/>
        <v>0</v>
      </c>
      <c r="AT40" s="186">
        <f t="shared" si="21"/>
        <v>0</v>
      </c>
      <c r="AU40" s="44">
        <f t="shared" si="21"/>
        <v>0</v>
      </c>
    </row>
    <row r="41" spans="1:47">
      <c r="A41" s="31">
        <f t="shared" si="22"/>
        <v>26</v>
      </c>
      <c r="B41" s="55">
        <f>Metadata!C49</f>
        <v>0.40883767079225974</v>
      </c>
      <c r="C41" s="29"/>
      <c r="D41" s="22"/>
      <c r="E41" s="22"/>
      <c r="F41" s="46"/>
      <c r="G41" s="48">
        <f t="shared" si="1"/>
        <v>0</v>
      </c>
      <c r="H41" s="175">
        <f t="shared" si="2"/>
        <v>0</v>
      </c>
      <c r="I41" s="175">
        <f t="shared" si="3"/>
        <v>0</v>
      </c>
      <c r="J41" s="186">
        <f t="shared" si="4"/>
        <v>0</v>
      </c>
      <c r="K41" s="44">
        <f t="shared" si="5"/>
        <v>0</v>
      </c>
      <c r="L41" s="46"/>
      <c r="M41" s="22"/>
      <c r="N41" s="22"/>
      <c r="O41" s="46"/>
      <c r="P41" s="48">
        <f t="shared" si="6"/>
        <v>0</v>
      </c>
      <c r="Q41" s="175">
        <f t="shared" si="7"/>
        <v>0</v>
      </c>
      <c r="R41" s="175">
        <f t="shared" si="8"/>
        <v>0</v>
      </c>
      <c r="S41" s="186">
        <f t="shared" si="9"/>
        <v>0</v>
      </c>
      <c r="T41" s="44">
        <f t="shared" si="9"/>
        <v>0</v>
      </c>
      <c r="U41" s="46"/>
      <c r="V41" s="22"/>
      <c r="W41" s="22"/>
      <c r="X41" s="46"/>
      <c r="Y41" s="48">
        <f t="shared" si="10"/>
        <v>0</v>
      </c>
      <c r="Z41" s="175">
        <f t="shared" si="11"/>
        <v>0</v>
      </c>
      <c r="AA41" s="175">
        <f t="shared" si="12"/>
        <v>0</v>
      </c>
      <c r="AB41" s="186">
        <f t="shared" si="13"/>
        <v>0</v>
      </c>
      <c r="AC41" s="44">
        <f t="shared" si="13"/>
        <v>0</v>
      </c>
      <c r="AD41" s="46"/>
      <c r="AE41" s="22"/>
      <c r="AF41" s="22"/>
      <c r="AG41" s="46"/>
      <c r="AH41" s="48">
        <f t="shared" si="14"/>
        <v>0</v>
      </c>
      <c r="AI41" s="175">
        <f t="shared" si="15"/>
        <v>0</v>
      </c>
      <c r="AJ41" s="175">
        <f t="shared" si="16"/>
        <v>0</v>
      </c>
      <c r="AK41" s="186">
        <f t="shared" si="17"/>
        <v>0</v>
      </c>
      <c r="AL41" s="44">
        <f t="shared" si="17"/>
        <v>0</v>
      </c>
      <c r="AM41" s="46"/>
      <c r="AN41" s="22"/>
      <c r="AO41" s="22"/>
      <c r="AP41" s="46"/>
      <c r="AQ41" s="48">
        <f t="shared" si="18"/>
        <v>0</v>
      </c>
      <c r="AR41" s="175">
        <f t="shared" si="19"/>
        <v>0</v>
      </c>
      <c r="AS41" s="175">
        <f t="shared" si="20"/>
        <v>0</v>
      </c>
      <c r="AT41" s="186">
        <f t="shared" si="21"/>
        <v>0</v>
      </c>
      <c r="AU41" s="44">
        <f t="shared" si="21"/>
        <v>0</v>
      </c>
    </row>
    <row r="42" spans="1:47">
      <c r="A42" s="31">
        <f t="shared" si="22"/>
        <v>27</v>
      </c>
      <c r="B42" s="55">
        <f>Metadata!C50</f>
        <v>0.39501224231136212</v>
      </c>
      <c r="C42" s="29"/>
      <c r="D42" s="22"/>
      <c r="E42" s="22"/>
      <c r="F42" s="46"/>
      <c r="G42" s="48">
        <f t="shared" si="1"/>
        <v>0</v>
      </c>
      <c r="H42" s="175">
        <f t="shared" si="2"/>
        <v>0</v>
      </c>
      <c r="I42" s="175">
        <f t="shared" si="3"/>
        <v>0</v>
      </c>
      <c r="J42" s="186">
        <f t="shared" si="4"/>
        <v>0</v>
      </c>
      <c r="K42" s="44">
        <f t="shared" si="5"/>
        <v>0</v>
      </c>
      <c r="L42" s="46"/>
      <c r="M42" s="22"/>
      <c r="N42" s="22"/>
      <c r="O42" s="46"/>
      <c r="P42" s="48">
        <f t="shared" si="6"/>
        <v>0</v>
      </c>
      <c r="Q42" s="175">
        <f t="shared" si="7"/>
        <v>0</v>
      </c>
      <c r="R42" s="175">
        <f t="shared" si="8"/>
        <v>0</v>
      </c>
      <c r="S42" s="186">
        <f t="shared" si="9"/>
        <v>0</v>
      </c>
      <c r="T42" s="44">
        <f t="shared" si="9"/>
        <v>0</v>
      </c>
      <c r="U42" s="46"/>
      <c r="V42" s="22"/>
      <c r="W42" s="22"/>
      <c r="X42" s="46"/>
      <c r="Y42" s="48">
        <f t="shared" si="10"/>
        <v>0</v>
      </c>
      <c r="Z42" s="175">
        <f t="shared" si="11"/>
        <v>0</v>
      </c>
      <c r="AA42" s="175">
        <f t="shared" si="12"/>
        <v>0</v>
      </c>
      <c r="AB42" s="186">
        <f t="shared" si="13"/>
        <v>0</v>
      </c>
      <c r="AC42" s="44">
        <f t="shared" si="13"/>
        <v>0</v>
      </c>
      <c r="AD42" s="46"/>
      <c r="AE42" s="22"/>
      <c r="AF42" s="22"/>
      <c r="AG42" s="46"/>
      <c r="AH42" s="48">
        <f t="shared" si="14"/>
        <v>0</v>
      </c>
      <c r="AI42" s="175">
        <f t="shared" si="15"/>
        <v>0</v>
      </c>
      <c r="AJ42" s="175">
        <f t="shared" si="16"/>
        <v>0</v>
      </c>
      <c r="AK42" s="186">
        <f t="shared" si="17"/>
        <v>0</v>
      </c>
      <c r="AL42" s="44">
        <f t="shared" si="17"/>
        <v>0</v>
      </c>
      <c r="AM42" s="46"/>
      <c r="AN42" s="22"/>
      <c r="AO42" s="22"/>
      <c r="AP42" s="46"/>
      <c r="AQ42" s="48">
        <f t="shared" si="18"/>
        <v>0</v>
      </c>
      <c r="AR42" s="175">
        <f t="shared" si="19"/>
        <v>0</v>
      </c>
      <c r="AS42" s="175">
        <f t="shared" si="20"/>
        <v>0</v>
      </c>
      <c r="AT42" s="186">
        <f t="shared" si="21"/>
        <v>0</v>
      </c>
      <c r="AU42" s="44">
        <f t="shared" si="21"/>
        <v>0</v>
      </c>
    </row>
    <row r="43" spans="1:47">
      <c r="A43" s="31">
        <f t="shared" si="22"/>
        <v>28</v>
      </c>
      <c r="B43" s="55">
        <f>Metadata!C51</f>
        <v>0.38165434039745133</v>
      </c>
      <c r="C43" s="29"/>
      <c r="D43" s="22"/>
      <c r="E43" s="22"/>
      <c r="F43" s="46"/>
      <c r="G43" s="48">
        <f t="shared" si="1"/>
        <v>0</v>
      </c>
      <c r="H43" s="175">
        <f t="shared" si="2"/>
        <v>0</v>
      </c>
      <c r="I43" s="175">
        <f t="shared" si="3"/>
        <v>0</v>
      </c>
      <c r="J43" s="186">
        <f t="shared" si="4"/>
        <v>0</v>
      </c>
      <c r="K43" s="44">
        <f t="shared" si="5"/>
        <v>0</v>
      </c>
      <c r="L43" s="46"/>
      <c r="M43" s="22"/>
      <c r="N43" s="22"/>
      <c r="O43" s="46"/>
      <c r="P43" s="48">
        <f t="shared" si="6"/>
        <v>0</v>
      </c>
      <c r="Q43" s="175">
        <f t="shared" si="7"/>
        <v>0</v>
      </c>
      <c r="R43" s="175">
        <f t="shared" si="8"/>
        <v>0</v>
      </c>
      <c r="S43" s="186">
        <f t="shared" si="9"/>
        <v>0</v>
      </c>
      <c r="T43" s="44">
        <f t="shared" si="9"/>
        <v>0</v>
      </c>
      <c r="U43" s="46"/>
      <c r="V43" s="22"/>
      <c r="W43" s="22"/>
      <c r="X43" s="46"/>
      <c r="Y43" s="48">
        <f t="shared" si="10"/>
        <v>0</v>
      </c>
      <c r="Z43" s="175">
        <f t="shared" si="11"/>
        <v>0</v>
      </c>
      <c r="AA43" s="175">
        <f t="shared" si="12"/>
        <v>0</v>
      </c>
      <c r="AB43" s="186">
        <f t="shared" si="13"/>
        <v>0</v>
      </c>
      <c r="AC43" s="44">
        <f t="shared" si="13"/>
        <v>0</v>
      </c>
      <c r="AD43" s="46"/>
      <c r="AE43" s="22"/>
      <c r="AF43" s="22"/>
      <c r="AG43" s="46"/>
      <c r="AH43" s="48">
        <f t="shared" si="14"/>
        <v>0</v>
      </c>
      <c r="AI43" s="175">
        <f t="shared" si="15"/>
        <v>0</v>
      </c>
      <c r="AJ43" s="175">
        <f t="shared" si="16"/>
        <v>0</v>
      </c>
      <c r="AK43" s="186">
        <f t="shared" si="17"/>
        <v>0</v>
      </c>
      <c r="AL43" s="44">
        <f t="shared" si="17"/>
        <v>0</v>
      </c>
      <c r="AM43" s="46"/>
      <c r="AN43" s="22"/>
      <c r="AO43" s="22"/>
      <c r="AP43" s="46"/>
      <c r="AQ43" s="48">
        <f t="shared" si="18"/>
        <v>0</v>
      </c>
      <c r="AR43" s="175">
        <f t="shared" si="19"/>
        <v>0</v>
      </c>
      <c r="AS43" s="175">
        <f t="shared" si="20"/>
        <v>0</v>
      </c>
      <c r="AT43" s="186">
        <f t="shared" si="21"/>
        <v>0</v>
      </c>
      <c r="AU43" s="44">
        <f t="shared" si="21"/>
        <v>0</v>
      </c>
    </row>
    <row r="44" spans="1:47">
      <c r="A44" s="31">
        <f t="shared" si="22"/>
        <v>29</v>
      </c>
      <c r="B44" s="55">
        <f>Metadata!C52</f>
        <v>0.36874815497338298</v>
      </c>
      <c r="C44" s="29"/>
      <c r="D44" s="22"/>
      <c r="E44" s="22"/>
      <c r="F44" s="46"/>
      <c r="G44" s="48">
        <f t="shared" si="1"/>
        <v>0</v>
      </c>
      <c r="H44" s="175">
        <f t="shared" si="2"/>
        <v>0</v>
      </c>
      <c r="I44" s="175">
        <f t="shared" si="3"/>
        <v>0</v>
      </c>
      <c r="J44" s="186">
        <f t="shared" si="4"/>
        <v>0</v>
      </c>
      <c r="K44" s="44">
        <f t="shared" si="5"/>
        <v>0</v>
      </c>
      <c r="L44" s="46"/>
      <c r="M44" s="22"/>
      <c r="N44" s="22"/>
      <c r="O44" s="46"/>
      <c r="P44" s="48">
        <f t="shared" si="6"/>
        <v>0</v>
      </c>
      <c r="Q44" s="175">
        <f t="shared" si="7"/>
        <v>0</v>
      </c>
      <c r="R44" s="175">
        <f t="shared" si="8"/>
        <v>0</v>
      </c>
      <c r="S44" s="186">
        <f t="shared" si="9"/>
        <v>0</v>
      </c>
      <c r="T44" s="44">
        <f t="shared" si="9"/>
        <v>0</v>
      </c>
      <c r="U44" s="46"/>
      <c r="V44" s="22"/>
      <c r="W44" s="22"/>
      <c r="X44" s="46"/>
      <c r="Y44" s="48">
        <f t="shared" si="10"/>
        <v>0</v>
      </c>
      <c r="Z44" s="175">
        <f t="shared" si="11"/>
        <v>0</v>
      </c>
      <c r="AA44" s="175">
        <f t="shared" si="12"/>
        <v>0</v>
      </c>
      <c r="AB44" s="186">
        <f t="shared" si="13"/>
        <v>0</v>
      </c>
      <c r="AC44" s="44">
        <f t="shared" si="13"/>
        <v>0</v>
      </c>
      <c r="AD44" s="46"/>
      <c r="AE44" s="22"/>
      <c r="AF44" s="22"/>
      <c r="AG44" s="46"/>
      <c r="AH44" s="48">
        <f t="shared" si="14"/>
        <v>0</v>
      </c>
      <c r="AI44" s="175">
        <f t="shared" si="15"/>
        <v>0</v>
      </c>
      <c r="AJ44" s="175">
        <f t="shared" si="16"/>
        <v>0</v>
      </c>
      <c r="AK44" s="186">
        <f t="shared" si="17"/>
        <v>0</v>
      </c>
      <c r="AL44" s="44">
        <f t="shared" si="17"/>
        <v>0</v>
      </c>
      <c r="AM44" s="46"/>
      <c r="AN44" s="22"/>
      <c r="AO44" s="22"/>
      <c r="AP44" s="46"/>
      <c r="AQ44" s="48">
        <f t="shared" si="18"/>
        <v>0</v>
      </c>
      <c r="AR44" s="175">
        <f t="shared" si="19"/>
        <v>0</v>
      </c>
      <c r="AS44" s="175">
        <f t="shared" si="20"/>
        <v>0</v>
      </c>
      <c r="AT44" s="186">
        <f t="shared" si="21"/>
        <v>0</v>
      </c>
      <c r="AU44" s="44">
        <f t="shared" si="21"/>
        <v>0</v>
      </c>
    </row>
    <row r="45" spans="1:47">
      <c r="A45" s="31">
        <f t="shared" si="22"/>
        <v>30</v>
      </c>
      <c r="B45" s="55">
        <f>Metadata!C53</f>
        <v>0.35627841060230242</v>
      </c>
      <c r="C45" s="29"/>
      <c r="D45" s="22"/>
      <c r="E45" s="22"/>
      <c r="F45" s="46"/>
      <c r="G45" s="48">
        <f t="shared" si="1"/>
        <v>0</v>
      </c>
      <c r="H45" s="175">
        <f t="shared" si="2"/>
        <v>0</v>
      </c>
      <c r="I45" s="175">
        <f t="shared" si="3"/>
        <v>0</v>
      </c>
      <c r="J45" s="186">
        <f t="shared" si="4"/>
        <v>0</v>
      </c>
      <c r="K45" s="44">
        <f t="shared" si="5"/>
        <v>0</v>
      </c>
      <c r="L45" s="46"/>
      <c r="M45" s="22"/>
      <c r="N45" s="22"/>
      <c r="O45" s="46"/>
      <c r="P45" s="48">
        <f t="shared" si="6"/>
        <v>0</v>
      </c>
      <c r="Q45" s="175">
        <f t="shared" si="7"/>
        <v>0</v>
      </c>
      <c r="R45" s="175">
        <f t="shared" si="8"/>
        <v>0</v>
      </c>
      <c r="S45" s="186">
        <f t="shared" si="9"/>
        <v>0</v>
      </c>
      <c r="T45" s="44">
        <f t="shared" si="9"/>
        <v>0</v>
      </c>
      <c r="U45" s="46"/>
      <c r="V45" s="22"/>
      <c r="W45" s="22"/>
      <c r="X45" s="46"/>
      <c r="Y45" s="48">
        <f t="shared" si="10"/>
        <v>0</v>
      </c>
      <c r="Z45" s="175">
        <f t="shared" si="11"/>
        <v>0</v>
      </c>
      <c r="AA45" s="175">
        <f t="shared" si="12"/>
        <v>0</v>
      </c>
      <c r="AB45" s="186">
        <f t="shared" si="13"/>
        <v>0</v>
      </c>
      <c r="AC45" s="44">
        <f t="shared" si="13"/>
        <v>0</v>
      </c>
      <c r="AD45" s="46"/>
      <c r="AE45" s="22"/>
      <c r="AF45" s="22"/>
      <c r="AG45" s="46"/>
      <c r="AH45" s="48">
        <f t="shared" si="14"/>
        <v>0</v>
      </c>
      <c r="AI45" s="175">
        <f t="shared" si="15"/>
        <v>0</v>
      </c>
      <c r="AJ45" s="175">
        <f t="shared" si="16"/>
        <v>0</v>
      </c>
      <c r="AK45" s="186">
        <f t="shared" si="17"/>
        <v>0</v>
      </c>
      <c r="AL45" s="44">
        <f t="shared" si="17"/>
        <v>0</v>
      </c>
      <c r="AM45" s="46"/>
      <c r="AN45" s="22"/>
      <c r="AO45" s="22"/>
      <c r="AP45" s="46"/>
      <c r="AQ45" s="48">
        <f t="shared" si="18"/>
        <v>0</v>
      </c>
      <c r="AR45" s="175">
        <f t="shared" si="19"/>
        <v>0</v>
      </c>
      <c r="AS45" s="175">
        <f t="shared" si="20"/>
        <v>0</v>
      </c>
      <c r="AT45" s="186">
        <f t="shared" si="21"/>
        <v>0</v>
      </c>
      <c r="AU45" s="44">
        <f t="shared" si="21"/>
        <v>0</v>
      </c>
    </row>
    <row r="46" spans="1:47">
      <c r="A46" s="31">
        <f t="shared" si="22"/>
        <v>31</v>
      </c>
      <c r="B46" s="55">
        <f>Metadata!C54</f>
        <v>0.34590136951679845</v>
      </c>
      <c r="C46" s="29"/>
      <c r="D46" s="22"/>
      <c r="E46" s="22"/>
      <c r="F46" s="46"/>
      <c r="G46" s="48">
        <f t="shared" si="1"/>
        <v>0</v>
      </c>
      <c r="H46" s="175">
        <f t="shared" si="2"/>
        <v>0</v>
      </c>
      <c r="I46" s="175">
        <f t="shared" si="3"/>
        <v>0</v>
      </c>
      <c r="J46" s="186">
        <f t="shared" si="4"/>
        <v>0</v>
      </c>
      <c r="K46" s="44">
        <f t="shared" si="5"/>
        <v>0</v>
      </c>
      <c r="L46" s="46"/>
      <c r="M46" s="22"/>
      <c r="N46" s="22"/>
      <c r="O46" s="46"/>
      <c r="P46" s="48">
        <f t="shared" si="6"/>
        <v>0</v>
      </c>
      <c r="Q46" s="175">
        <f t="shared" si="7"/>
        <v>0</v>
      </c>
      <c r="R46" s="175">
        <f t="shared" si="8"/>
        <v>0</v>
      </c>
      <c r="S46" s="186">
        <f t="shared" si="9"/>
        <v>0</v>
      </c>
      <c r="T46" s="44">
        <f t="shared" si="9"/>
        <v>0</v>
      </c>
      <c r="U46" s="46"/>
      <c r="V46" s="22"/>
      <c r="W46" s="22"/>
      <c r="X46" s="46"/>
      <c r="Y46" s="48">
        <f t="shared" si="10"/>
        <v>0</v>
      </c>
      <c r="Z46" s="175">
        <f t="shared" si="11"/>
        <v>0</v>
      </c>
      <c r="AA46" s="175">
        <f t="shared" si="12"/>
        <v>0</v>
      </c>
      <c r="AB46" s="186">
        <f t="shared" si="13"/>
        <v>0</v>
      </c>
      <c r="AC46" s="44">
        <f t="shared" si="13"/>
        <v>0</v>
      </c>
      <c r="AD46" s="46"/>
      <c r="AE46" s="22"/>
      <c r="AF46" s="22"/>
      <c r="AG46" s="46"/>
      <c r="AH46" s="48">
        <f t="shared" si="14"/>
        <v>0</v>
      </c>
      <c r="AI46" s="175">
        <f t="shared" si="15"/>
        <v>0</v>
      </c>
      <c r="AJ46" s="175">
        <f t="shared" si="16"/>
        <v>0</v>
      </c>
      <c r="AK46" s="186">
        <f t="shared" si="17"/>
        <v>0</v>
      </c>
      <c r="AL46" s="44">
        <f t="shared" si="17"/>
        <v>0</v>
      </c>
      <c r="AM46" s="46"/>
      <c r="AN46" s="22"/>
      <c r="AO46" s="22"/>
      <c r="AP46" s="46"/>
      <c r="AQ46" s="48">
        <f t="shared" si="18"/>
        <v>0</v>
      </c>
      <c r="AR46" s="175">
        <f t="shared" si="19"/>
        <v>0</v>
      </c>
      <c r="AS46" s="175">
        <f t="shared" si="20"/>
        <v>0</v>
      </c>
      <c r="AT46" s="186">
        <f t="shared" si="21"/>
        <v>0</v>
      </c>
      <c r="AU46" s="44">
        <f t="shared" si="21"/>
        <v>0</v>
      </c>
    </row>
    <row r="47" spans="1:47">
      <c r="A47" s="31">
        <f t="shared" si="22"/>
        <v>32</v>
      </c>
      <c r="B47" s="55">
        <f>Metadata!C55</f>
        <v>0.33582657234640628</v>
      </c>
      <c r="C47" s="29"/>
      <c r="D47" s="22"/>
      <c r="E47" s="22"/>
      <c r="F47" s="46"/>
      <c r="G47" s="48">
        <f t="shared" si="1"/>
        <v>0</v>
      </c>
      <c r="H47" s="175">
        <f t="shared" si="2"/>
        <v>0</v>
      </c>
      <c r="I47" s="175">
        <f t="shared" si="3"/>
        <v>0</v>
      </c>
      <c r="J47" s="186">
        <f t="shared" si="4"/>
        <v>0</v>
      </c>
      <c r="K47" s="44">
        <f t="shared" si="5"/>
        <v>0</v>
      </c>
      <c r="L47" s="46"/>
      <c r="M47" s="22"/>
      <c r="N47" s="22"/>
      <c r="O47" s="46"/>
      <c r="P47" s="48">
        <f t="shared" si="6"/>
        <v>0</v>
      </c>
      <c r="Q47" s="175">
        <f t="shared" si="7"/>
        <v>0</v>
      </c>
      <c r="R47" s="175">
        <f t="shared" si="8"/>
        <v>0</v>
      </c>
      <c r="S47" s="186">
        <f t="shared" si="9"/>
        <v>0</v>
      </c>
      <c r="T47" s="44">
        <f t="shared" si="9"/>
        <v>0</v>
      </c>
      <c r="U47" s="46"/>
      <c r="V47" s="22"/>
      <c r="W47" s="22"/>
      <c r="X47" s="46"/>
      <c r="Y47" s="48">
        <f t="shared" si="10"/>
        <v>0</v>
      </c>
      <c r="Z47" s="175">
        <f t="shared" si="11"/>
        <v>0</v>
      </c>
      <c r="AA47" s="175">
        <f t="shared" si="12"/>
        <v>0</v>
      </c>
      <c r="AB47" s="186">
        <f t="shared" si="13"/>
        <v>0</v>
      </c>
      <c r="AC47" s="44">
        <f t="shared" si="13"/>
        <v>0</v>
      </c>
      <c r="AD47" s="46"/>
      <c r="AE47" s="22"/>
      <c r="AF47" s="22"/>
      <c r="AG47" s="46"/>
      <c r="AH47" s="48">
        <f t="shared" si="14"/>
        <v>0</v>
      </c>
      <c r="AI47" s="175">
        <f t="shared" si="15"/>
        <v>0</v>
      </c>
      <c r="AJ47" s="175">
        <f t="shared" si="16"/>
        <v>0</v>
      </c>
      <c r="AK47" s="186">
        <f t="shared" si="17"/>
        <v>0</v>
      </c>
      <c r="AL47" s="44">
        <f t="shared" si="17"/>
        <v>0</v>
      </c>
      <c r="AM47" s="46"/>
      <c r="AN47" s="22"/>
      <c r="AO47" s="22"/>
      <c r="AP47" s="46"/>
      <c r="AQ47" s="48">
        <f t="shared" si="18"/>
        <v>0</v>
      </c>
      <c r="AR47" s="175">
        <f t="shared" si="19"/>
        <v>0</v>
      </c>
      <c r="AS47" s="175">
        <f t="shared" si="20"/>
        <v>0</v>
      </c>
      <c r="AT47" s="186">
        <f t="shared" si="21"/>
        <v>0</v>
      </c>
      <c r="AU47" s="44">
        <f t="shared" si="21"/>
        <v>0</v>
      </c>
    </row>
    <row r="48" spans="1:47">
      <c r="A48" s="31">
        <f t="shared" si="22"/>
        <v>33</v>
      </c>
      <c r="B48" s="55">
        <f>Metadata!C56</f>
        <v>0.32604521587029733</v>
      </c>
      <c r="C48" s="29"/>
      <c r="D48" s="22"/>
      <c r="E48" s="22"/>
      <c r="F48" s="46"/>
      <c r="G48" s="48">
        <f t="shared" si="1"/>
        <v>0</v>
      </c>
      <c r="H48" s="175">
        <f t="shared" si="2"/>
        <v>0</v>
      </c>
      <c r="I48" s="175">
        <f t="shared" si="3"/>
        <v>0</v>
      </c>
      <c r="J48" s="186">
        <f t="shared" si="4"/>
        <v>0</v>
      </c>
      <c r="K48" s="44">
        <f t="shared" si="5"/>
        <v>0</v>
      </c>
      <c r="L48" s="46"/>
      <c r="M48" s="22"/>
      <c r="N48" s="22"/>
      <c r="O48" s="46"/>
      <c r="P48" s="48">
        <f t="shared" si="6"/>
        <v>0</v>
      </c>
      <c r="Q48" s="175">
        <f t="shared" si="7"/>
        <v>0</v>
      </c>
      <c r="R48" s="175">
        <f t="shared" si="8"/>
        <v>0</v>
      </c>
      <c r="S48" s="186">
        <f t="shared" si="9"/>
        <v>0</v>
      </c>
      <c r="T48" s="44">
        <f t="shared" si="9"/>
        <v>0</v>
      </c>
      <c r="U48" s="46"/>
      <c r="V48" s="22"/>
      <c r="W48" s="22"/>
      <c r="X48" s="46"/>
      <c r="Y48" s="48">
        <f t="shared" si="10"/>
        <v>0</v>
      </c>
      <c r="Z48" s="175">
        <f t="shared" si="11"/>
        <v>0</v>
      </c>
      <c r="AA48" s="175">
        <f t="shared" si="12"/>
        <v>0</v>
      </c>
      <c r="AB48" s="186">
        <f t="shared" si="13"/>
        <v>0</v>
      </c>
      <c r="AC48" s="44">
        <f t="shared" si="13"/>
        <v>0</v>
      </c>
      <c r="AD48" s="46"/>
      <c r="AE48" s="22"/>
      <c r="AF48" s="22"/>
      <c r="AG48" s="46"/>
      <c r="AH48" s="48">
        <f t="shared" si="14"/>
        <v>0</v>
      </c>
      <c r="AI48" s="175">
        <f t="shared" si="15"/>
        <v>0</v>
      </c>
      <c r="AJ48" s="175">
        <f t="shared" si="16"/>
        <v>0</v>
      </c>
      <c r="AK48" s="186">
        <f t="shared" si="17"/>
        <v>0</v>
      </c>
      <c r="AL48" s="44">
        <f t="shared" si="17"/>
        <v>0</v>
      </c>
      <c r="AM48" s="46"/>
      <c r="AN48" s="22"/>
      <c r="AO48" s="22"/>
      <c r="AP48" s="46"/>
      <c r="AQ48" s="48">
        <f t="shared" si="18"/>
        <v>0</v>
      </c>
      <c r="AR48" s="175">
        <f t="shared" si="19"/>
        <v>0</v>
      </c>
      <c r="AS48" s="175">
        <f t="shared" si="20"/>
        <v>0</v>
      </c>
      <c r="AT48" s="186">
        <f t="shared" si="21"/>
        <v>0</v>
      </c>
      <c r="AU48" s="44">
        <f t="shared" si="21"/>
        <v>0</v>
      </c>
    </row>
    <row r="49" spans="1:47">
      <c r="A49" s="31">
        <f t="shared" si="22"/>
        <v>34</v>
      </c>
      <c r="B49" s="55">
        <f>Metadata!C57</f>
        <v>0.31654875327213333</v>
      </c>
      <c r="C49" s="29"/>
      <c r="D49" s="22"/>
      <c r="E49" s="22"/>
      <c r="F49" s="46"/>
      <c r="G49" s="48">
        <f t="shared" si="1"/>
        <v>0</v>
      </c>
      <c r="H49" s="175">
        <f t="shared" si="2"/>
        <v>0</v>
      </c>
      <c r="I49" s="175">
        <f t="shared" si="3"/>
        <v>0</v>
      </c>
      <c r="J49" s="186">
        <f t="shared" si="4"/>
        <v>0</v>
      </c>
      <c r="K49" s="44">
        <f t="shared" si="5"/>
        <v>0</v>
      </c>
      <c r="L49" s="46"/>
      <c r="M49" s="22"/>
      <c r="N49" s="22"/>
      <c r="O49" s="46"/>
      <c r="P49" s="48">
        <f t="shared" si="6"/>
        <v>0</v>
      </c>
      <c r="Q49" s="175">
        <f t="shared" si="7"/>
        <v>0</v>
      </c>
      <c r="R49" s="175">
        <f t="shared" si="8"/>
        <v>0</v>
      </c>
      <c r="S49" s="186">
        <f t="shared" si="9"/>
        <v>0</v>
      </c>
      <c r="T49" s="44">
        <f t="shared" si="9"/>
        <v>0</v>
      </c>
      <c r="U49" s="46"/>
      <c r="V49" s="22"/>
      <c r="W49" s="22"/>
      <c r="X49" s="46"/>
      <c r="Y49" s="48">
        <f t="shared" si="10"/>
        <v>0</v>
      </c>
      <c r="Z49" s="175">
        <f t="shared" si="11"/>
        <v>0</v>
      </c>
      <c r="AA49" s="175">
        <f t="shared" si="12"/>
        <v>0</v>
      </c>
      <c r="AB49" s="186">
        <f t="shared" si="13"/>
        <v>0</v>
      </c>
      <c r="AC49" s="44">
        <f t="shared" si="13"/>
        <v>0</v>
      </c>
      <c r="AD49" s="46"/>
      <c r="AE49" s="22"/>
      <c r="AF49" s="22"/>
      <c r="AG49" s="46"/>
      <c r="AH49" s="48">
        <f t="shared" si="14"/>
        <v>0</v>
      </c>
      <c r="AI49" s="175">
        <f t="shared" si="15"/>
        <v>0</v>
      </c>
      <c r="AJ49" s="175">
        <f t="shared" si="16"/>
        <v>0</v>
      </c>
      <c r="AK49" s="186">
        <f t="shared" si="17"/>
        <v>0</v>
      </c>
      <c r="AL49" s="44">
        <f t="shared" si="17"/>
        <v>0</v>
      </c>
      <c r="AM49" s="46"/>
      <c r="AN49" s="22"/>
      <c r="AO49" s="22"/>
      <c r="AP49" s="46"/>
      <c r="AQ49" s="48">
        <f t="shared" si="18"/>
        <v>0</v>
      </c>
      <c r="AR49" s="175">
        <f t="shared" si="19"/>
        <v>0</v>
      </c>
      <c r="AS49" s="175">
        <f t="shared" si="20"/>
        <v>0</v>
      </c>
      <c r="AT49" s="186">
        <f t="shared" si="21"/>
        <v>0</v>
      </c>
      <c r="AU49" s="44">
        <f t="shared" si="21"/>
        <v>0</v>
      </c>
    </row>
    <row r="50" spans="1:47">
      <c r="A50" s="31">
        <f t="shared" si="22"/>
        <v>35</v>
      </c>
      <c r="B50" s="55">
        <f>Metadata!C58</f>
        <v>0.30732888667197411</v>
      </c>
      <c r="C50" s="29"/>
      <c r="D50" s="22"/>
      <c r="E50" s="22"/>
      <c r="F50" s="46"/>
      <c r="G50" s="48">
        <f t="shared" si="1"/>
        <v>0</v>
      </c>
      <c r="H50" s="175">
        <f t="shared" si="2"/>
        <v>0</v>
      </c>
      <c r="I50" s="175">
        <f t="shared" si="3"/>
        <v>0</v>
      </c>
      <c r="J50" s="186">
        <f t="shared" si="4"/>
        <v>0</v>
      </c>
      <c r="K50" s="44">
        <f t="shared" si="5"/>
        <v>0</v>
      </c>
      <c r="L50" s="46"/>
      <c r="M50" s="22"/>
      <c r="N50" s="22"/>
      <c r="O50" s="46"/>
      <c r="P50" s="48">
        <f t="shared" si="6"/>
        <v>0</v>
      </c>
      <c r="Q50" s="175">
        <f t="shared" si="7"/>
        <v>0</v>
      </c>
      <c r="R50" s="175">
        <f t="shared" si="8"/>
        <v>0</v>
      </c>
      <c r="S50" s="186">
        <f t="shared" si="9"/>
        <v>0</v>
      </c>
      <c r="T50" s="44">
        <f t="shared" si="9"/>
        <v>0</v>
      </c>
      <c r="U50" s="46"/>
      <c r="V50" s="22"/>
      <c r="W50" s="22"/>
      <c r="X50" s="46"/>
      <c r="Y50" s="48">
        <f t="shared" si="10"/>
        <v>0</v>
      </c>
      <c r="Z50" s="175">
        <f t="shared" si="11"/>
        <v>0</v>
      </c>
      <c r="AA50" s="175">
        <f t="shared" si="12"/>
        <v>0</v>
      </c>
      <c r="AB50" s="186">
        <f t="shared" si="13"/>
        <v>0</v>
      </c>
      <c r="AC50" s="44">
        <f t="shared" si="13"/>
        <v>0</v>
      </c>
      <c r="AD50" s="46"/>
      <c r="AE50" s="22"/>
      <c r="AF50" s="22"/>
      <c r="AG50" s="46"/>
      <c r="AH50" s="48">
        <f t="shared" si="14"/>
        <v>0</v>
      </c>
      <c r="AI50" s="175">
        <f t="shared" si="15"/>
        <v>0</v>
      </c>
      <c r="AJ50" s="175">
        <f t="shared" si="16"/>
        <v>0</v>
      </c>
      <c r="AK50" s="186">
        <f t="shared" si="17"/>
        <v>0</v>
      </c>
      <c r="AL50" s="44">
        <f t="shared" si="17"/>
        <v>0</v>
      </c>
      <c r="AM50" s="46"/>
      <c r="AN50" s="22"/>
      <c r="AO50" s="22"/>
      <c r="AP50" s="46"/>
      <c r="AQ50" s="48">
        <f t="shared" si="18"/>
        <v>0</v>
      </c>
      <c r="AR50" s="175">
        <f t="shared" si="19"/>
        <v>0</v>
      </c>
      <c r="AS50" s="175">
        <f t="shared" si="20"/>
        <v>0</v>
      </c>
      <c r="AT50" s="186">
        <f t="shared" si="21"/>
        <v>0</v>
      </c>
      <c r="AU50" s="44">
        <f t="shared" si="21"/>
        <v>0</v>
      </c>
    </row>
    <row r="51" spans="1:47">
      <c r="A51" s="31">
        <f t="shared" si="22"/>
        <v>36</v>
      </c>
      <c r="B51" s="55">
        <f>Metadata!C59</f>
        <v>0.29837755987570302</v>
      </c>
      <c r="C51" s="29"/>
      <c r="D51" s="22"/>
      <c r="E51" s="22"/>
      <c r="F51" s="46"/>
      <c r="G51" s="48">
        <f t="shared" si="1"/>
        <v>0</v>
      </c>
      <c r="H51" s="175">
        <f t="shared" si="2"/>
        <v>0</v>
      </c>
      <c r="I51" s="175">
        <f t="shared" si="3"/>
        <v>0</v>
      </c>
      <c r="J51" s="186">
        <f t="shared" si="4"/>
        <v>0</v>
      </c>
      <c r="K51" s="44">
        <f t="shared" si="5"/>
        <v>0</v>
      </c>
      <c r="L51" s="46"/>
      <c r="M51" s="22"/>
      <c r="N51" s="22"/>
      <c r="O51" s="46"/>
      <c r="P51" s="48">
        <f t="shared" si="6"/>
        <v>0</v>
      </c>
      <c r="Q51" s="175">
        <f t="shared" si="7"/>
        <v>0</v>
      </c>
      <c r="R51" s="175">
        <f t="shared" si="8"/>
        <v>0</v>
      </c>
      <c r="S51" s="186">
        <f t="shared" si="9"/>
        <v>0</v>
      </c>
      <c r="T51" s="44">
        <f t="shared" si="9"/>
        <v>0</v>
      </c>
      <c r="U51" s="46"/>
      <c r="V51" s="22"/>
      <c r="W51" s="22"/>
      <c r="X51" s="46"/>
      <c r="Y51" s="48">
        <f t="shared" si="10"/>
        <v>0</v>
      </c>
      <c r="Z51" s="175">
        <f t="shared" si="11"/>
        <v>0</v>
      </c>
      <c r="AA51" s="175">
        <f t="shared" si="12"/>
        <v>0</v>
      </c>
      <c r="AB51" s="186">
        <f t="shared" si="13"/>
        <v>0</v>
      </c>
      <c r="AC51" s="44">
        <f t="shared" si="13"/>
        <v>0</v>
      </c>
      <c r="AD51" s="46"/>
      <c r="AE51" s="22"/>
      <c r="AF51" s="22"/>
      <c r="AG51" s="46"/>
      <c r="AH51" s="48">
        <f t="shared" si="14"/>
        <v>0</v>
      </c>
      <c r="AI51" s="175">
        <f t="shared" si="15"/>
        <v>0</v>
      </c>
      <c r="AJ51" s="175">
        <f t="shared" si="16"/>
        <v>0</v>
      </c>
      <c r="AK51" s="186">
        <f t="shared" si="17"/>
        <v>0</v>
      </c>
      <c r="AL51" s="44">
        <f t="shared" si="17"/>
        <v>0</v>
      </c>
      <c r="AM51" s="46"/>
      <c r="AN51" s="22"/>
      <c r="AO51" s="22"/>
      <c r="AP51" s="46"/>
      <c r="AQ51" s="48">
        <f t="shared" si="18"/>
        <v>0</v>
      </c>
      <c r="AR51" s="175">
        <f t="shared" si="19"/>
        <v>0</v>
      </c>
      <c r="AS51" s="175">
        <f t="shared" si="20"/>
        <v>0</v>
      </c>
      <c r="AT51" s="186">
        <f t="shared" si="21"/>
        <v>0</v>
      </c>
      <c r="AU51" s="44">
        <f t="shared" si="21"/>
        <v>0</v>
      </c>
    </row>
    <row r="52" spans="1:47">
      <c r="A52" s="31">
        <f t="shared" si="22"/>
        <v>37</v>
      </c>
      <c r="B52" s="55">
        <f>Metadata!C60</f>
        <v>0.28968695133563399</v>
      </c>
      <c r="C52" s="29"/>
      <c r="D52" s="22"/>
      <c r="E52" s="22"/>
      <c r="F52" s="46"/>
      <c r="G52" s="48">
        <f t="shared" si="1"/>
        <v>0</v>
      </c>
      <c r="H52" s="175">
        <f t="shared" si="2"/>
        <v>0</v>
      </c>
      <c r="I52" s="175">
        <f t="shared" si="3"/>
        <v>0</v>
      </c>
      <c r="J52" s="186">
        <f t="shared" si="4"/>
        <v>0</v>
      </c>
      <c r="K52" s="44">
        <f t="shared" si="5"/>
        <v>0</v>
      </c>
      <c r="L52" s="46"/>
      <c r="M52" s="22"/>
      <c r="N52" s="22"/>
      <c r="O52" s="46"/>
      <c r="P52" s="48">
        <f t="shared" si="6"/>
        <v>0</v>
      </c>
      <c r="Q52" s="175">
        <f t="shared" si="7"/>
        <v>0</v>
      </c>
      <c r="R52" s="175">
        <f t="shared" si="8"/>
        <v>0</v>
      </c>
      <c r="S52" s="186">
        <f t="shared" si="9"/>
        <v>0</v>
      </c>
      <c r="T52" s="44">
        <f t="shared" si="9"/>
        <v>0</v>
      </c>
      <c r="U52" s="46"/>
      <c r="V52" s="22"/>
      <c r="W52" s="22"/>
      <c r="X52" s="46"/>
      <c r="Y52" s="48">
        <f t="shared" si="10"/>
        <v>0</v>
      </c>
      <c r="Z52" s="175">
        <f t="shared" si="11"/>
        <v>0</v>
      </c>
      <c r="AA52" s="175">
        <f t="shared" si="12"/>
        <v>0</v>
      </c>
      <c r="AB52" s="186">
        <f t="shared" si="13"/>
        <v>0</v>
      </c>
      <c r="AC52" s="44">
        <f t="shared" si="13"/>
        <v>0</v>
      </c>
      <c r="AD52" s="46"/>
      <c r="AE52" s="22"/>
      <c r="AF52" s="22"/>
      <c r="AG52" s="46"/>
      <c r="AH52" s="48">
        <f t="shared" si="14"/>
        <v>0</v>
      </c>
      <c r="AI52" s="175">
        <f t="shared" si="15"/>
        <v>0</v>
      </c>
      <c r="AJ52" s="175">
        <f t="shared" si="16"/>
        <v>0</v>
      </c>
      <c r="AK52" s="186">
        <f t="shared" si="17"/>
        <v>0</v>
      </c>
      <c r="AL52" s="44">
        <f t="shared" si="17"/>
        <v>0</v>
      </c>
      <c r="AM52" s="46"/>
      <c r="AN52" s="22"/>
      <c r="AO52" s="22"/>
      <c r="AP52" s="46"/>
      <c r="AQ52" s="48">
        <f t="shared" si="18"/>
        <v>0</v>
      </c>
      <c r="AR52" s="175">
        <f t="shared" si="19"/>
        <v>0</v>
      </c>
      <c r="AS52" s="175">
        <f t="shared" si="20"/>
        <v>0</v>
      </c>
      <c r="AT52" s="186">
        <f t="shared" si="21"/>
        <v>0</v>
      </c>
      <c r="AU52" s="44">
        <f t="shared" si="21"/>
        <v>0</v>
      </c>
    </row>
    <row r="53" spans="1:47">
      <c r="A53" s="31">
        <f t="shared" si="22"/>
        <v>38</v>
      </c>
      <c r="B53" s="55">
        <f>Metadata!C61</f>
        <v>0.28124946731614953</v>
      </c>
      <c r="C53" s="29"/>
      <c r="D53" s="22"/>
      <c r="E53" s="22"/>
      <c r="F53" s="46"/>
      <c r="G53" s="48">
        <f t="shared" si="1"/>
        <v>0</v>
      </c>
      <c r="H53" s="175">
        <f t="shared" si="2"/>
        <v>0</v>
      </c>
      <c r="I53" s="175">
        <f t="shared" si="3"/>
        <v>0</v>
      </c>
      <c r="J53" s="186">
        <f t="shared" si="4"/>
        <v>0</v>
      </c>
      <c r="K53" s="44">
        <f t="shared" si="5"/>
        <v>0</v>
      </c>
      <c r="L53" s="46"/>
      <c r="M53" s="22"/>
      <c r="N53" s="22"/>
      <c r="O53" s="46"/>
      <c r="P53" s="48">
        <f t="shared" si="6"/>
        <v>0</v>
      </c>
      <c r="Q53" s="175">
        <f t="shared" si="7"/>
        <v>0</v>
      </c>
      <c r="R53" s="175">
        <f t="shared" si="8"/>
        <v>0</v>
      </c>
      <c r="S53" s="186">
        <f t="shared" si="9"/>
        <v>0</v>
      </c>
      <c r="T53" s="44">
        <f t="shared" si="9"/>
        <v>0</v>
      </c>
      <c r="U53" s="46"/>
      <c r="V53" s="22"/>
      <c r="W53" s="22"/>
      <c r="X53" s="46"/>
      <c r="Y53" s="48">
        <f t="shared" si="10"/>
        <v>0</v>
      </c>
      <c r="Z53" s="175">
        <f t="shared" si="11"/>
        <v>0</v>
      </c>
      <c r="AA53" s="175">
        <f t="shared" si="12"/>
        <v>0</v>
      </c>
      <c r="AB53" s="186">
        <f t="shared" si="13"/>
        <v>0</v>
      </c>
      <c r="AC53" s="44">
        <f t="shared" si="13"/>
        <v>0</v>
      </c>
      <c r="AD53" s="46"/>
      <c r="AE53" s="22"/>
      <c r="AF53" s="22"/>
      <c r="AG53" s="46"/>
      <c r="AH53" s="48">
        <f t="shared" si="14"/>
        <v>0</v>
      </c>
      <c r="AI53" s="175">
        <f t="shared" si="15"/>
        <v>0</v>
      </c>
      <c r="AJ53" s="175">
        <f t="shared" si="16"/>
        <v>0</v>
      </c>
      <c r="AK53" s="186">
        <f t="shared" si="17"/>
        <v>0</v>
      </c>
      <c r="AL53" s="44">
        <f t="shared" si="17"/>
        <v>0</v>
      </c>
      <c r="AM53" s="46"/>
      <c r="AN53" s="22"/>
      <c r="AO53" s="22"/>
      <c r="AP53" s="46"/>
      <c r="AQ53" s="48">
        <f t="shared" si="18"/>
        <v>0</v>
      </c>
      <c r="AR53" s="175">
        <f t="shared" si="19"/>
        <v>0</v>
      </c>
      <c r="AS53" s="175">
        <f t="shared" si="20"/>
        <v>0</v>
      </c>
      <c r="AT53" s="186">
        <f t="shared" si="21"/>
        <v>0</v>
      </c>
      <c r="AU53" s="44">
        <f t="shared" si="21"/>
        <v>0</v>
      </c>
    </row>
    <row r="54" spans="1:47">
      <c r="A54" s="31">
        <f t="shared" si="22"/>
        <v>39</v>
      </c>
      <c r="B54" s="55">
        <f>Metadata!C62</f>
        <v>0.2730577352583976</v>
      </c>
      <c r="C54" s="29"/>
      <c r="D54" s="22"/>
      <c r="E54" s="22"/>
      <c r="F54" s="46"/>
      <c r="G54" s="48">
        <f t="shared" si="1"/>
        <v>0</v>
      </c>
      <c r="H54" s="175">
        <f t="shared" si="2"/>
        <v>0</v>
      </c>
      <c r="I54" s="175">
        <f t="shared" si="3"/>
        <v>0</v>
      </c>
      <c r="J54" s="186">
        <f t="shared" si="4"/>
        <v>0</v>
      </c>
      <c r="K54" s="44">
        <f t="shared" si="5"/>
        <v>0</v>
      </c>
      <c r="L54" s="46"/>
      <c r="M54" s="22"/>
      <c r="N54" s="22"/>
      <c r="O54" s="46"/>
      <c r="P54" s="48">
        <f t="shared" si="6"/>
        <v>0</v>
      </c>
      <c r="Q54" s="175">
        <f t="shared" si="7"/>
        <v>0</v>
      </c>
      <c r="R54" s="175">
        <f t="shared" si="8"/>
        <v>0</v>
      </c>
      <c r="S54" s="186">
        <f t="shared" si="9"/>
        <v>0</v>
      </c>
      <c r="T54" s="44">
        <f t="shared" si="9"/>
        <v>0</v>
      </c>
      <c r="U54" s="46"/>
      <c r="V54" s="22"/>
      <c r="W54" s="22"/>
      <c r="X54" s="46"/>
      <c r="Y54" s="48">
        <f t="shared" si="10"/>
        <v>0</v>
      </c>
      <c r="Z54" s="175">
        <f t="shared" si="11"/>
        <v>0</v>
      </c>
      <c r="AA54" s="175">
        <f t="shared" si="12"/>
        <v>0</v>
      </c>
      <c r="AB54" s="186">
        <f t="shared" si="13"/>
        <v>0</v>
      </c>
      <c r="AC54" s="44">
        <f t="shared" si="13"/>
        <v>0</v>
      </c>
      <c r="AD54" s="46"/>
      <c r="AE54" s="22"/>
      <c r="AF54" s="22"/>
      <c r="AG54" s="46"/>
      <c r="AH54" s="48">
        <f t="shared" si="14"/>
        <v>0</v>
      </c>
      <c r="AI54" s="175">
        <f t="shared" si="15"/>
        <v>0</v>
      </c>
      <c r="AJ54" s="175">
        <f t="shared" si="16"/>
        <v>0</v>
      </c>
      <c r="AK54" s="186">
        <f t="shared" si="17"/>
        <v>0</v>
      </c>
      <c r="AL54" s="44">
        <f t="shared" si="17"/>
        <v>0</v>
      </c>
      <c r="AM54" s="46"/>
      <c r="AN54" s="22"/>
      <c r="AO54" s="22"/>
      <c r="AP54" s="46"/>
      <c r="AQ54" s="48">
        <f t="shared" si="18"/>
        <v>0</v>
      </c>
      <c r="AR54" s="175">
        <f t="shared" si="19"/>
        <v>0</v>
      </c>
      <c r="AS54" s="175">
        <f t="shared" si="20"/>
        <v>0</v>
      </c>
      <c r="AT54" s="186">
        <f t="shared" si="21"/>
        <v>0</v>
      </c>
      <c r="AU54" s="44">
        <f t="shared" si="21"/>
        <v>0</v>
      </c>
    </row>
    <row r="55" spans="1:47">
      <c r="A55" s="31">
        <f t="shared" si="22"/>
        <v>40</v>
      </c>
      <c r="B55" s="55">
        <f>Metadata!C63</f>
        <v>0.26510459733825009</v>
      </c>
      <c r="C55" s="29"/>
      <c r="D55" s="22"/>
      <c r="E55" s="22"/>
      <c r="F55" s="46"/>
      <c r="G55" s="48">
        <f t="shared" si="1"/>
        <v>0</v>
      </c>
      <c r="H55" s="175">
        <f t="shared" si="2"/>
        <v>0</v>
      </c>
      <c r="I55" s="175">
        <f t="shared" si="3"/>
        <v>0</v>
      </c>
      <c r="J55" s="186">
        <f t="shared" si="4"/>
        <v>0</v>
      </c>
      <c r="K55" s="44">
        <f t="shared" si="5"/>
        <v>0</v>
      </c>
      <c r="L55" s="46"/>
      <c r="M55" s="22"/>
      <c r="N55" s="22"/>
      <c r="O55" s="46"/>
      <c r="P55" s="48">
        <f t="shared" si="6"/>
        <v>0</v>
      </c>
      <c r="Q55" s="175">
        <f t="shared" si="7"/>
        <v>0</v>
      </c>
      <c r="R55" s="175">
        <f t="shared" si="8"/>
        <v>0</v>
      </c>
      <c r="S55" s="186">
        <f t="shared" si="9"/>
        <v>0</v>
      </c>
      <c r="T55" s="44">
        <f t="shared" si="9"/>
        <v>0</v>
      </c>
      <c r="U55" s="46"/>
      <c r="V55" s="22"/>
      <c r="W55" s="22"/>
      <c r="X55" s="46"/>
      <c r="Y55" s="48">
        <f t="shared" si="10"/>
        <v>0</v>
      </c>
      <c r="Z55" s="175">
        <f t="shared" si="11"/>
        <v>0</v>
      </c>
      <c r="AA55" s="175">
        <f t="shared" si="12"/>
        <v>0</v>
      </c>
      <c r="AB55" s="186">
        <f t="shared" si="13"/>
        <v>0</v>
      </c>
      <c r="AC55" s="44">
        <f t="shared" si="13"/>
        <v>0</v>
      </c>
      <c r="AD55" s="46"/>
      <c r="AE55" s="22"/>
      <c r="AF55" s="22"/>
      <c r="AG55" s="46"/>
      <c r="AH55" s="48">
        <f t="shared" si="14"/>
        <v>0</v>
      </c>
      <c r="AI55" s="175">
        <f t="shared" si="15"/>
        <v>0</v>
      </c>
      <c r="AJ55" s="175">
        <f t="shared" si="16"/>
        <v>0</v>
      </c>
      <c r="AK55" s="186">
        <f t="shared" si="17"/>
        <v>0</v>
      </c>
      <c r="AL55" s="44">
        <f t="shared" si="17"/>
        <v>0</v>
      </c>
      <c r="AM55" s="46"/>
      <c r="AN55" s="22"/>
      <c r="AO55" s="22"/>
      <c r="AP55" s="46"/>
      <c r="AQ55" s="48">
        <f t="shared" si="18"/>
        <v>0</v>
      </c>
      <c r="AR55" s="175">
        <f t="shared" si="19"/>
        <v>0</v>
      </c>
      <c r="AS55" s="175">
        <f t="shared" si="20"/>
        <v>0</v>
      </c>
      <c r="AT55" s="186">
        <f t="shared" si="21"/>
        <v>0</v>
      </c>
      <c r="AU55" s="44">
        <f t="shared" si="21"/>
        <v>0</v>
      </c>
    </row>
    <row r="56" spans="1:47">
      <c r="A56" s="31">
        <f t="shared" si="22"/>
        <v>41</v>
      </c>
      <c r="B56" s="55">
        <f>Metadata!C64</f>
        <v>0.25738310421189331</v>
      </c>
      <c r="C56" s="29"/>
      <c r="D56" s="22"/>
      <c r="E56" s="22"/>
      <c r="F56" s="46"/>
      <c r="G56" s="48">
        <f t="shared" si="1"/>
        <v>0</v>
      </c>
      <c r="H56" s="175">
        <f t="shared" si="2"/>
        <v>0</v>
      </c>
      <c r="I56" s="175">
        <f t="shared" si="3"/>
        <v>0</v>
      </c>
      <c r="J56" s="186">
        <f t="shared" si="4"/>
        <v>0</v>
      </c>
      <c r="K56" s="44">
        <f t="shared" si="5"/>
        <v>0</v>
      </c>
      <c r="L56" s="46"/>
      <c r="M56" s="22"/>
      <c r="N56" s="22"/>
      <c r="O56" s="46"/>
      <c r="P56" s="48">
        <f t="shared" si="6"/>
        <v>0</v>
      </c>
      <c r="Q56" s="175">
        <f t="shared" si="7"/>
        <v>0</v>
      </c>
      <c r="R56" s="175">
        <f t="shared" si="8"/>
        <v>0</v>
      </c>
      <c r="S56" s="186">
        <f t="shared" si="9"/>
        <v>0</v>
      </c>
      <c r="T56" s="44">
        <f t="shared" si="9"/>
        <v>0</v>
      </c>
      <c r="U56" s="46"/>
      <c r="V56" s="22"/>
      <c r="W56" s="22"/>
      <c r="X56" s="46"/>
      <c r="Y56" s="48">
        <f t="shared" si="10"/>
        <v>0</v>
      </c>
      <c r="Z56" s="175">
        <f t="shared" si="11"/>
        <v>0</v>
      </c>
      <c r="AA56" s="175">
        <f t="shared" si="12"/>
        <v>0</v>
      </c>
      <c r="AB56" s="186">
        <f t="shared" si="13"/>
        <v>0</v>
      </c>
      <c r="AC56" s="44">
        <f t="shared" si="13"/>
        <v>0</v>
      </c>
      <c r="AD56" s="46"/>
      <c r="AE56" s="22"/>
      <c r="AF56" s="22"/>
      <c r="AG56" s="46"/>
      <c r="AH56" s="48">
        <f t="shared" si="14"/>
        <v>0</v>
      </c>
      <c r="AI56" s="175">
        <f t="shared" si="15"/>
        <v>0</v>
      </c>
      <c r="AJ56" s="175">
        <f t="shared" si="16"/>
        <v>0</v>
      </c>
      <c r="AK56" s="186">
        <f t="shared" si="17"/>
        <v>0</v>
      </c>
      <c r="AL56" s="44">
        <f t="shared" si="17"/>
        <v>0</v>
      </c>
      <c r="AM56" s="46"/>
      <c r="AN56" s="22"/>
      <c r="AO56" s="22"/>
      <c r="AP56" s="46"/>
      <c r="AQ56" s="48">
        <f t="shared" si="18"/>
        <v>0</v>
      </c>
      <c r="AR56" s="175">
        <f t="shared" si="19"/>
        <v>0</v>
      </c>
      <c r="AS56" s="175">
        <f t="shared" si="20"/>
        <v>0</v>
      </c>
      <c r="AT56" s="186">
        <f t="shared" si="21"/>
        <v>0</v>
      </c>
      <c r="AU56" s="44">
        <f t="shared" si="21"/>
        <v>0</v>
      </c>
    </row>
    <row r="57" spans="1:47">
      <c r="A57" s="31">
        <f t="shared" si="22"/>
        <v>42</v>
      </c>
      <c r="B57" s="55">
        <f>Metadata!C65</f>
        <v>0.24988650894358574</v>
      </c>
      <c r="C57" s="29"/>
      <c r="D57" s="22"/>
      <c r="E57" s="22"/>
      <c r="F57" s="46"/>
      <c r="G57" s="48">
        <f t="shared" si="1"/>
        <v>0</v>
      </c>
      <c r="H57" s="175">
        <f t="shared" si="2"/>
        <v>0</v>
      </c>
      <c r="I57" s="175">
        <f t="shared" si="3"/>
        <v>0</v>
      </c>
      <c r="J57" s="186">
        <f t="shared" si="4"/>
        <v>0</v>
      </c>
      <c r="K57" s="44">
        <f t="shared" si="5"/>
        <v>0</v>
      </c>
      <c r="L57" s="46"/>
      <c r="M57" s="22"/>
      <c r="N57" s="22"/>
      <c r="O57" s="46"/>
      <c r="P57" s="48">
        <f t="shared" si="6"/>
        <v>0</v>
      </c>
      <c r="Q57" s="175">
        <f t="shared" si="7"/>
        <v>0</v>
      </c>
      <c r="R57" s="175">
        <f t="shared" si="8"/>
        <v>0</v>
      </c>
      <c r="S57" s="186">
        <f t="shared" si="9"/>
        <v>0</v>
      </c>
      <c r="T57" s="44">
        <f t="shared" si="9"/>
        <v>0</v>
      </c>
      <c r="U57" s="46"/>
      <c r="V57" s="22"/>
      <c r="W57" s="22"/>
      <c r="X57" s="46"/>
      <c r="Y57" s="48">
        <f t="shared" si="10"/>
        <v>0</v>
      </c>
      <c r="Z57" s="175">
        <f t="shared" si="11"/>
        <v>0</v>
      </c>
      <c r="AA57" s="175">
        <f t="shared" si="12"/>
        <v>0</v>
      </c>
      <c r="AB57" s="186">
        <f t="shared" si="13"/>
        <v>0</v>
      </c>
      <c r="AC57" s="44">
        <f t="shared" si="13"/>
        <v>0</v>
      </c>
      <c r="AD57" s="46"/>
      <c r="AE57" s="22"/>
      <c r="AF57" s="22"/>
      <c r="AG57" s="46"/>
      <c r="AH57" s="48">
        <f t="shared" si="14"/>
        <v>0</v>
      </c>
      <c r="AI57" s="175">
        <f t="shared" si="15"/>
        <v>0</v>
      </c>
      <c r="AJ57" s="175">
        <f t="shared" si="16"/>
        <v>0</v>
      </c>
      <c r="AK57" s="186">
        <f t="shared" si="17"/>
        <v>0</v>
      </c>
      <c r="AL57" s="44">
        <f t="shared" si="17"/>
        <v>0</v>
      </c>
      <c r="AM57" s="46"/>
      <c r="AN57" s="22"/>
      <c r="AO57" s="22"/>
      <c r="AP57" s="46"/>
      <c r="AQ57" s="48">
        <f t="shared" si="18"/>
        <v>0</v>
      </c>
      <c r="AR57" s="175">
        <f t="shared" si="19"/>
        <v>0</v>
      </c>
      <c r="AS57" s="175">
        <f t="shared" si="20"/>
        <v>0</v>
      </c>
      <c r="AT57" s="186">
        <f t="shared" si="21"/>
        <v>0</v>
      </c>
      <c r="AU57" s="44">
        <f t="shared" si="21"/>
        <v>0</v>
      </c>
    </row>
    <row r="58" spans="1:47">
      <c r="A58" s="31">
        <f t="shared" si="22"/>
        <v>43</v>
      </c>
      <c r="B58" s="55">
        <f>Metadata!C66</f>
        <v>0.24260826111027742</v>
      </c>
      <c r="C58" s="29"/>
      <c r="D58" s="22"/>
      <c r="E58" s="22"/>
      <c r="F58" s="46"/>
      <c r="G58" s="48">
        <f t="shared" si="1"/>
        <v>0</v>
      </c>
      <c r="H58" s="175">
        <f t="shared" si="2"/>
        <v>0</v>
      </c>
      <c r="I58" s="175">
        <f t="shared" si="3"/>
        <v>0</v>
      </c>
      <c r="J58" s="186">
        <f t="shared" si="4"/>
        <v>0</v>
      </c>
      <c r="K58" s="44">
        <f t="shared" si="5"/>
        <v>0</v>
      </c>
      <c r="L58" s="46"/>
      <c r="M58" s="22"/>
      <c r="N58" s="22"/>
      <c r="O58" s="46"/>
      <c r="P58" s="48">
        <f t="shared" si="6"/>
        <v>0</v>
      </c>
      <c r="Q58" s="175">
        <f t="shared" si="7"/>
        <v>0</v>
      </c>
      <c r="R58" s="175">
        <f t="shared" si="8"/>
        <v>0</v>
      </c>
      <c r="S58" s="186">
        <f t="shared" si="9"/>
        <v>0</v>
      </c>
      <c r="T58" s="44">
        <f t="shared" si="9"/>
        <v>0</v>
      </c>
      <c r="U58" s="46"/>
      <c r="V58" s="22"/>
      <c r="W58" s="22"/>
      <c r="X58" s="46"/>
      <c r="Y58" s="48">
        <f t="shared" si="10"/>
        <v>0</v>
      </c>
      <c r="Z58" s="175">
        <f t="shared" si="11"/>
        <v>0</v>
      </c>
      <c r="AA58" s="175">
        <f t="shared" si="12"/>
        <v>0</v>
      </c>
      <c r="AB58" s="186">
        <f t="shared" si="13"/>
        <v>0</v>
      </c>
      <c r="AC58" s="44">
        <f t="shared" si="13"/>
        <v>0</v>
      </c>
      <c r="AD58" s="46"/>
      <c r="AE58" s="22"/>
      <c r="AF58" s="22"/>
      <c r="AG58" s="46"/>
      <c r="AH58" s="48">
        <f t="shared" si="14"/>
        <v>0</v>
      </c>
      <c r="AI58" s="175">
        <f t="shared" si="15"/>
        <v>0</v>
      </c>
      <c r="AJ58" s="175">
        <f t="shared" si="16"/>
        <v>0</v>
      </c>
      <c r="AK58" s="186">
        <f t="shared" si="17"/>
        <v>0</v>
      </c>
      <c r="AL58" s="44">
        <f t="shared" si="17"/>
        <v>0</v>
      </c>
      <c r="AM58" s="46"/>
      <c r="AN58" s="22"/>
      <c r="AO58" s="22"/>
      <c r="AP58" s="46"/>
      <c r="AQ58" s="48">
        <f t="shared" si="18"/>
        <v>0</v>
      </c>
      <c r="AR58" s="175">
        <f t="shared" si="19"/>
        <v>0</v>
      </c>
      <c r="AS58" s="175">
        <f t="shared" si="20"/>
        <v>0</v>
      </c>
      <c r="AT58" s="186">
        <f t="shared" si="21"/>
        <v>0</v>
      </c>
      <c r="AU58" s="44">
        <f t="shared" si="21"/>
        <v>0</v>
      </c>
    </row>
    <row r="59" spans="1:47">
      <c r="A59" s="31">
        <f t="shared" si="22"/>
        <v>44</v>
      </c>
      <c r="B59" s="55">
        <f>Metadata!C67</f>
        <v>0.23554200107793924</v>
      </c>
      <c r="C59" s="29"/>
      <c r="D59" s="22"/>
      <c r="E59" s="22"/>
      <c r="F59" s="46"/>
      <c r="G59" s="48">
        <f t="shared" si="1"/>
        <v>0</v>
      </c>
      <c r="H59" s="175">
        <f t="shared" si="2"/>
        <v>0</v>
      </c>
      <c r="I59" s="175">
        <f t="shared" si="3"/>
        <v>0</v>
      </c>
      <c r="J59" s="186">
        <f t="shared" si="4"/>
        <v>0</v>
      </c>
      <c r="K59" s="44">
        <f t="shared" si="5"/>
        <v>0</v>
      </c>
      <c r="L59" s="46"/>
      <c r="M59" s="22"/>
      <c r="N59" s="22"/>
      <c r="O59" s="46"/>
      <c r="P59" s="48">
        <f t="shared" si="6"/>
        <v>0</v>
      </c>
      <c r="Q59" s="175">
        <f t="shared" si="7"/>
        <v>0</v>
      </c>
      <c r="R59" s="175">
        <f t="shared" si="8"/>
        <v>0</v>
      </c>
      <c r="S59" s="186">
        <f t="shared" si="9"/>
        <v>0</v>
      </c>
      <c r="T59" s="44">
        <f t="shared" si="9"/>
        <v>0</v>
      </c>
      <c r="U59" s="46"/>
      <c r="V59" s="22"/>
      <c r="W59" s="22"/>
      <c r="X59" s="46"/>
      <c r="Y59" s="48">
        <f t="shared" si="10"/>
        <v>0</v>
      </c>
      <c r="Z59" s="175">
        <f t="shared" si="11"/>
        <v>0</v>
      </c>
      <c r="AA59" s="175">
        <f t="shared" si="12"/>
        <v>0</v>
      </c>
      <c r="AB59" s="186">
        <f t="shared" si="13"/>
        <v>0</v>
      </c>
      <c r="AC59" s="44">
        <f t="shared" si="13"/>
        <v>0</v>
      </c>
      <c r="AD59" s="46"/>
      <c r="AE59" s="22"/>
      <c r="AF59" s="22"/>
      <c r="AG59" s="46"/>
      <c r="AH59" s="48">
        <f t="shared" si="14"/>
        <v>0</v>
      </c>
      <c r="AI59" s="175">
        <f t="shared" si="15"/>
        <v>0</v>
      </c>
      <c r="AJ59" s="175">
        <f t="shared" si="16"/>
        <v>0</v>
      </c>
      <c r="AK59" s="186">
        <f t="shared" si="17"/>
        <v>0</v>
      </c>
      <c r="AL59" s="44">
        <f t="shared" si="17"/>
        <v>0</v>
      </c>
      <c r="AM59" s="46"/>
      <c r="AN59" s="22"/>
      <c r="AO59" s="22"/>
      <c r="AP59" s="46"/>
      <c r="AQ59" s="48">
        <f t="shared" si="18"/>
        <v>0</v>
      </c>
      <c r="AR59" s="175">
        <f t="shared" si="19"/>
        <v>0</v>
      </c>
      <c r="AS59" s="175">
        <f t="shared" si="20"/>
        <v>0</v>
      </c>
      <c r="AT59" s="186">
        <f t="shared" si="21"/>
        <v>0</v>
      </c>
      <c r="AU59" s="44">
        <f t="shared" si="21"/>
        <v>0</v>
      </c>
    </row>
    <row r="60" spans="1:47">
      <c r="A60" s="31">
        <f t="shared" si="22"/>
        <v>45</v>
      </c>
      <c r="B60" s="55">
        <f>Metadata!C68</f>
        <v>0.2286815544446012</v>
      </c>
      <c r="C60" s="29"/>
      <c r="D60" s="22"/>
      <c r="E60" s="22"/>
      <c r="F60" s="46"/>
      <c r="G60" s="48">
        <f t="shared" si="1"/>
        <v>0</v>
      </c>
      <c r="H60" s="175">
        <f t="shared" si="2"/>
        <v>0</v>
      </c>
      <c r="I60" s="175">
        <f t="shared" si="3"/>
        <v>0</v>
      </c>
      <c r="J60" s="186">
        <f t="shared" si="4"/>
        <v>0</v>
      </c>
      <c r="K60" s="44">
        <f t="shared" si="5"/>
        <v>0</v>
      </c>
      <c r="L60" s="46"/>
      <c r="M60" s="22"/>
      <c r="N60" s="22"/>
      <c r="O60" s="46"/>
      <c r="P60" s="48">
        <f t="shared" si="6"/>
        <v>0</v>
      </c>
      <c r="Q60" s="175">
        <f t="shared" si="7"/>
        <v>0</v>
      </c>
      <c r="R60" s="175">
        <f t="shared" si="8"/>
        <v>0</v>
      </c>
      <c r="S60" s="186">
        <f t="shared" si="9"/>
        <v>0</v>
      </c>
      <c r="T60" s="44">
        <f t="shared" si="9"/>
        <v>0</v>
      </c>
      <c r="U60" s="46"/>
      <c r="V60" s="22"/>
      <c r="W60" s="22"/>
      <c r="X60" s="46"/>
      <c r="Y60" s="48">
        <f t="shared" si="10"/>
        <v>0</v>
      </c>
      <c r="Z60" s="175">
        <f t="shared" si="11"/>
        <v>0</v>
      </c>
      <c r="AA60" s="175">
        <f t="shared" si="12"/>
        <v>0</v>
      </c>
      <c r="AB60" s="186">
        <f t="shared" si="13"/>
        <v>0</v>
      </c>
      <c r="AC60" s="44">
        <f t="shared" si="13"/>
        <v>0</v>
      </c>
      <c r="AD60" s="46"/>
      <c r="AE60" s="22"/>
      <c r="AF60" s="22"/>
      <c r="AG60" s="46"/>
      <c r="AH60" s="48">
        <f t="shared" si="14"/>
        <v>0</v>
      </c>
      <c r="AI60" s="175">
        <f t="shared" si="15"/>
        <v>0</v>
      </c>
      <c r="AJ60" s="175">
        <f t="shared" si="16"/>
        <v>0</v>
      </c>
      <c r="AK60" s="186">
        <f t="shared" si="17"/>
        <v>0</v>
      </c>
      <c r="AL60" s="44">
        <f t="shared" si="17"/>
        <v>0</v>
      </c>
      <c r="AM60" s="46"/>
      <c r="AN60" s="22"/>
      <c r="AO60" s="22"/>
      <c r="AP60" s="46"/>
      <c r="AQ60" s="48">
        <f t="shared" si="18"/>
        <v>0</v>
      </c>
      <c r="AR60" s="175">
        <f t="shared" si="19"/>
        <v>0</v>
      </c>
      <c r="AS60" s="175">
        <f t="shared" si="20"/>
        <v>0</v>
      </c>
      <c r="AT60" s="186">
        <f t="shared" si="21"/>
        <v>0</v>
      </c>
      <c r="AU60" s="44">
        <f t="shared" si="21"/>
        <v>0</v>
      </c>
    </row>
    <row r="61" spans="1:47">
      <c r="A61" s="31">
        <f t="shared" si="22"/>
        <v>46</v>
      </c>
      <c r="B61" s="55">
        <f>Metadata!C69</f>
        <v>0.22202092664524387</v>
      </c>
      <c r="C61" s="29"/>
      <c r="D61" s="22"/>
      <c r="E61" s="22"/>
      <c r="F61" s="46"/>
      <c r="G61" s="48">
        <f t="shared" si="1"/>
        <v>0</v>
      </c>
      <c r="H61" s="175">
        <f t="shared" si="2"/>
        <v>0</v>
      </c>
      <c r="I61" s="175">
        <f t="shared" si="3"/>
        <v>0</v>
      </c>
      <c r="J61" s="186">
        <f t="shared" si="4"/>
        <v>0</v>
      </c>
      <c r="K61" s="44">
        <f t="shared" si="5"/>
        <v>0</v>
      </c>
      <c r="L61" s="46"/>
      <c r="M61" s="22"/>
      <c r="N61" s="22"/>
      <c r="O61" s="46"/>
      <c r="P61" s="48">
        <f t="shared" si="6"/>
        <v>0</v>
      </c>
      <c r="Q61" s="175">
        <f t="shared" si="7"/>
        <v>0</v>
      </c>
      <c r="R61" s="175">
        <f t="shared" si="8"/>
        <v>0</v>
      </c>
      <c r="S61" s="186">
        <f t="shared" si="9"/>
        <v>0</v>
      </c>
      <c r="T61" s="44">
        <f t="shared" si="9"/>
        <v>0</v>
      </c>
      <c r="U61" s="46"/>
      <c r="V61" s="22"/>
      <c r="W61" s="22"/>
      <c r="X61" s="46"/>
      <c r="Y61" s="48">
        <f t="shared" si="10"/>
        <v>0</v>
      </c>
      <c r="Z61" s="175">
        <f t="shared" si="11"/>
        <v>0</v>
      </c>
      <c r="AA61" s="175">
        <f t="shared" si="12"/>
        <v>0</v>
      </c>
      <c r="AB61" s="186">
        <f t="shared" si="13"/>
        <v>0</v>
      </c>
      <c r="AC61" s="44">
        <f t="shared" si="13"/>
        <v>0</v>
      </c>
      <c r="AD61" s="46"/>
      <c r="AE61" s="22"/>
      <c r="AF61" s="22"/>
      <c r="AG61" s="46"/>
      <c r="AH61" s="48">
        <f t="shared" si="14"/>
        <v>0</v>
      </c>
      <c r="AI61" s="175">
        <f t="shared" si="15"/>
        <v>0</v>
      </c>
      <c r="AJ61" s="175">
        <f t="shared" si="16"/>
        <v>0</v>
      </c>
      <c r="AK61" s="186">
        <f t="shared" si="17"/>
        <v>0</v>
      </c>
      <c r="AL61" s="44">
        <f t="shared" si="17"/>
        <v>0</v>
      </c>
      <c r="AM61" s="46"/>
      <c r="AN61" s="22"/>
      <c r="AO61" s="22"/>
      <c r="AP61" s="46"/>
      <c r="AQ61" s="48">
        <f t="shared" si="18"/>
        <v>0</v>
      </c>
      <c r="AR61" s="175">
        <f t="shared" si="19"/>
        <v>0</v>
      </c>
      <c r="AS61" s="175">
        <f t="shared" si="20"/>
        <v>0</v>
      </c>
      <c r="AT61" s="186">
        <f t="shared" si="21"/>
        <v>0</v>
      </c>
      <c r="AU61" s="44">
        <f t="shared" si="21"/>
        <v>0</v>
      </c>
    </row>
    <row r="62" spans="1:47">
      <c r="A62" s="31">
        <f t="shared" si="22"/>
        <v>47</v>
      </c>
      <c r="B62" s="55">
        <f>Metadata!C70</f>
        <v>0.215554297713829</v>
      </c>
      <c r="C62" s="29"/>
      <c r="D62" s="22"/>
      <c r="E62" s="22"/>
      <c r="F62" s="46"/>
      <c r="G62" s="48">
        <f t="shared" si="1"/>
        <v>0</v>
      </c>
      <c r="H62" s="175">
        <f t="shared" si="2"/>
        <v>0</v>
      </c>
      <c r="I62" s="175">
        <f t="shared" si="3"/>
        <v>0</v>
      </c>
      <c r="J62" s="186">
        <f t="shared" si="4"/>
        <v>0</v>
      </c>
      <c r="K62" s="44">
        <f t="shared" si="5"/>
        <v>0</v>
      </c>
      <c r="L62" s="46"/>
      <c r="M62" s="22"/>
      <c r="N62" s="22"/>
      <c r="O62" s="46"/>
      <c r="P62" s="48">
        <f t="shared" si="6"/>
        <v>0</v>
      </c>
      <c r="Q62" s="175">
        <f t="shared" si="7"/>
        <v>0</v>
      </c>
      <c r="R62" s="175">
        <f t="shared" si="8"/>
        <v>0</v>
      </c>
      <c r="S62" s="186">
        <f t="shared" si="9"/>
        <v>0</v>
      </c>
      <c r="T62" s="44">
        <f t="shared" si="9"/>
        <v>0</v>
      </c>
      <c r="U62" s="46"/>
      <c r="V62" s="22"/>
      <c r="W62" s="22"/>
      <c r="X62" s="46"/>
      <c r="Y62" s="48">
        <f t="shared" si="10"/>
        <v>0</v>
      </c>
      <c r="Z62" s="175">
        <f t="shared" si="11"/>
        <v>0</v>
      </c>
      <c r="AA62" s="175">
        <f t="shared" si="12"/>
        <v>0</v>
      </c>
      <c r="AB62" s="186">
        <f t="shared" si="13"/>
        <v>0</v>
      </c>
      <c r="AC62" s="44">
        <f t="shared" si="13"/>
        <v>0</v>
      </c>
      <c r="AD62" s="46"/>
      <c r="AE62" s="22"/>
      <c r="AF62" s="22"/>
      <c r="AG62" s="46"/>
      <c r="AH62" s="48">
        <f t="shared" si="14"/>
        <v>0</v>
      </c>
      <c r="AI62" s="175">
        <f t="shared" si="15"/>
        <v>0</v>
      </c>
      <c r="AJ62" s="175">
        <f t="shared" si="16"/>
        <v>0</v>
      </c>
      <c r="AK62" s="186">
        <f t="shared" si="17"/>
        <v>0</v>
      </c>
      <c r="AL62" s="44">
        <f t="shared" si="17"/>
        <v>0</v>
      </c>
      <c r="AM62" s="46"/>
      <c r="AN62" s="22"/>
      <c r="AO62" s="22"/>
      <c r="AP62" s="46"/>
      <c r="AQ62" s="48">
        <f t="shared" si="18"/>
        <v>0</v>
      </c>
      <c r="AR62" s="175">
        <f t="shared" si="19"/>
        <v>0</v>
      </c>
      <c r="AS62" s="175">
        <f t="shared" si="20"/>
        <v>0</v>
      </c>
      <c r="AT62" s="186">
        <f t="shared" si="21"/>
        <v>0</v>
      </c>
      <c r="AU62" s="44">
        <f t="shared" si="21"/>
        <v>0</v>
      </c>
    </row>
    <row r="63" spans="1:47">
      <c r="A63" s="31">
        <f t="shared" si="22"/>
        <v>48</v>
      </c>
      <c r="B63" s="55">
        <f>Metadata!C71</f>
        <v>0.20927601719789224</v>
      </c>
      <c r="C63" s="29"/>
      <c r="D63" s="22"/>
      <c r="E63" s="22"/>
      <c r="F63" s="46"/>
      <c r="G63" s="48">
        <f t="shared" si="1"/>
        <v>0</v>
      </c>
      <c r="H63" s="175">
        <f t="shared" si="2"/>
        <v>0</v>
      </c>
      <c r="I63" s="175">
        <f t="shared" si="3"/>
        <v>0</v>
      </c>
      <c r="J63" s="186">
        <f t="shared" si="4"/>
        <v>0</v>
      </c>
      <c r="K63" s="44">
        <f t="shared" si="5"/>
        <v>0</v>
      </c>
      <c r="L63" s="46"/>
      <c r="M63" s="22"/>
      <c r="N63" s="22"/>
      <c r="O63" s="46"/>
      <c r="P63" s="48">
        <f t="shared" si="6"/>
        <v>0</v>
      </c>
      <c r="Q63" s="175">
        <f t="shared" si="7"/>
        <v>0</v>
      </c>
      <c r="R63" s="175">
        <f t="shared" si="8"/>
        <v>0</v>
      </c>
      <c r="S63" s="186">
        <f t="shared" si="9"/>
        <v>0</v>
      </c>
      <c r="T63" s="44">
        <f t="shared" si="9"/>
        <v>0</v>
      </c>
      <c r="U63" s="46"/>
      <c r="V63" s="22"/>
      <c r="W63" s="22"/>
      <c r="X63" s="46"/>
      <c r="Y63" s="48">
        <f t="shared" si="10"/>
        <v>0</v>
      </c>
      <c r="Z63" s="175">
        <f t="shared" si="11"/>
        <v>0</v>
      </c>
      <c r="AA63" s="175">
        <f t="shared" si="12"/>
        <v>0</v>
      </c>
      <c r="AB63" s="186">
        <f t="shared" si="13"/>
        <v>0</v>
      </c>
      <c r="AC63" s="44">
        <f t="shared" si="13"/>
        <v>0</v>
      </c>
      <c r="AD63" s="46"/>
      <c r="AE63" s="22"/>
      <c r="AF63" s="22"/>
      <c r="AG63" s="46"/>
      <c r="AH63" s="48">
        <f t="shared" si="14"/>
        <v>0</v>
      </c>
      <c r="AI63" s="175">
        <f t="shared" si="15"/>
        <v>0</v>
      </c>
      <c r="AJ63" s="175">
        <f t="shared" si="16"/>
        <v>0</v>
      </c>
      <c r="AK63" s="186">
        <f t="shared" si="17"/>
        <v>0</v>
      </c>
      <c r="AL63" s="44">
        <f t="shared" si="17"/>
        <v>0</v>
      </c>
      <c r="AM63" s="46"/>
      <c r="AN63" s="22"/>
      <c r="AO63" s="22"/>
      <c r="AP63" s="46"/>
      <c r="AQ63" s="48">
        <f t="shared" si="18"/>
        <v>0</v>
      </c>
      <c r="AR63" s="175">
        <f t="shared" si="19"/>
        <v>0</v>
      </c>
      <c r="AS63" s="175">
        <f t="shared" si="20"/>
        <v>0</v>
      </c>
      <c r="AT63" s="186">
        <f t="shared" si="21"/>
        <v>0</v>
      </c>
      <c r="AU63" s="44">
        <f t="shared" si="21"/>
        <v>0</v>
      </c>
    </row>
    <row r="64" spans="1:47">
      <c r="A64" s="31">
        <f t="shared" si="22"/>
        <v>49</v>
      </c>
      <c r="B64" s="55">
        <f>Metadata!C72</f>
        <v>0.20318059922125459</v>
      </c>
      <c r="C64" s="29"/>
      <c r="D64" s="22"/>
      <c r="E64" s="22"/>
      <c r="F64" s="46"/>
      <c r="G64" s="48">
        <f t="shared" si="1"/>
        <v>0</v>
      </c>
      <c r="H64" s="175">
        <f t="shared" si="2"/>
        <v>0</v>
      </c>
      <c r="I64" s="175">
        <f t="shared" si="3"/>
        <v>0</v>
      </c>
      <c r="J64" s="186">
        <f t="shared" si="4"/>
        <v>0</v>
      </c>
      <c r="K64" s="44">
        <f t="shared" si="5"/>
        <v>0</v>
      </c>
      <c r="L64" s="46"/>
      <c r="M64" s="22"/>
      <c r="N64" s="22"/>
      <c r="O64" s="46"/>
      <c r="P64" s="48">
        <f t="shared" si="6"/>
        <v>0</v>
      </c>
      <c r="Q64" s="175">
        <f t="shared" si="7"/>
        <v>0</v>
      </c>
      <c r="R64" s="175">
        <f t="shared" si="8"/>
        <v>0</v>
      </c>
      <c r="S64" s="186">
        <f t="shared" si="9"/>
        <v>0</v>
      </c>
      <c r="T64" s="44">
        <f t="shared" si="9"/>
        <v>0</v>
      </c>
      <c r="U64" s="46"/>
      <c r="V64" s="22"/>
      <c r="W64" s="22"/>
      <c r="X64" s="46"/>
      <c r="Y64" s="48">
        <f t="shared" si="10"/>
        <v>0</v>
      </c>
      <c r="Z64" s="175">
        <f t="shared" si="11"/>
        <v>0</v>
      </c>
      <c r="AA64" s="175">
        <f t="shared" si="12"/>
        <v>0</v>
      </c>
      <c r="AB64" s="186">
        <f t="shared" si="13"/>
        <v>0</v>
      </c>
      <c r="AC64" s="44">
        <f t="shared" si="13"/>
        <v>0</v>
      </c>
      <c r="AD64" s="46"/>
      <c r="AE64" s="22"/>
      <c r="AF64" s="22"/>
      <c r="AG64" s="46"/>
      <c r="AH64" s="48">
        <f t="shared" si="14"/>
        <v>0</v>
      </c>
      <c r="AI64" s="175">
        <f t="shared" si="15"/>
        <v>0</v>
      </c>
      <c r="AJ64" s="175">
        <f t="shared" si="16"/>
        <v>0</v>
      </c>
      <c r="AK64" s="186">
        <f t="shared" si="17"/>
        <v>0</v>
      </c>
      <c r="AL64" s="44">
        <f t="shared" si="17"/>
        <v>0</v>
      </c>
      <c r="AM64" s="46"/>
      <c r="AN64" s="22"/>
      <c r="AO64" s="22"/>
      <c r="AP64" s="46"/>
      <c r="AQ64" s="48">
        <f t="shared" si="18"/>
        <v>0</v>
      </c>
      <c r="AR64" s="175">
        <f t="shared" si="19"/>
        <v>0</v>
      </c>
      <c r="AS64" s="175">
        <f t="shared" si="20"/>
        <v>0</v>
      </c>
      <c r="AT64" s="186">
        <f t="shared" si="21"/>
        <v>0</v>
      </c>
      <c r="AU64" s="44">
        <f t="shared" si="21"/>
        <v>0</v>
      </c>
    </row>
    <row r="65" spans="1:47">
      <c r="A65" s="31">
        <f t="shared" si="22"/>
        <v>50</v>
      </c>
      <c r="B65" s="55">
        <f>Metadata!C73</f>
        <v>0.19726271769053844</v>
      </c>
      <c r="C65" s="29"/>
      <c r="D65" s="22"/>
      <c r="E65" s="22"/>
      <c r="F65" s="46"/>
      <c r="G65" s="48">
        <f t="shared" si="1"/>
        <v>0</v>
      </c>
      <c r="H65" s="175">
        <f t="shared" si="2"/>
        <v>0</v>
      </c>
      <c r="I65" s="175">
        <f t="shared" si="3"/>
        <v>0</v>
      </c>
      <c r="J65" s="186">
        <f t="shared" si="4"/>
        <v>0</v>
      </c>
      <c r="K65" s="44">
        <f t="shared" si="5"/>
        <v>0</v>
      </c>
      <c r="L65" s="46"/>
      <c r="M65" s="22"/>
      <c r="N65" s="22"/>
      <c r="O65" s="46"/>
      <c r="P65" s="48">
        <f t="shared" si="6"/>
        <v>0</v>
      </c>
      <c r="Q65" s="175">
        <f t="shared" si="7"/>
        <v>0</v>
      </c>
      <c r="R65" s="175">
        <f t="shared" si="8"/>
        <v>0</v>
      </c>
      <c r="S65" s="186">
        <f t="shared" si="9"/>
        <v>0</v>
      </c>
      <c r="T65" s="44">
        <f t="shared" si="9"/>
        <v>0</v>
      </c>
      <c r="U65" s="46"/>
      <c r="V65" s="22"/>
      <c r="W65" s="22"/>
      <c r="X65" s="46"/>
      <c r="Y65" s="48">
        <f t="shared" si="10"/>
        <v>0</v>
      </c>
      <c r="Z65" s="175">
        <f t="shared" si="11"/>
        <v>0</v>
      </c>
      <c r="AA65" s="175">
        <f t="shared" si="12"/>
        <v>0</v>
      </c>
      <c r="AB65" s="186">
        <f t="shared" si="13"/>
        <v>0</v>
      </c>
      <c r="AC65" s="44">
        <f t="shared" si="13"/>
        <v>0</v>
      </c>
      <c r="AD65" s="46"/>
      <c r="AE65" s="22"/>
      <c r="AF65" s="22"/>
      <c r="AG65" s="46"/>
      <c r="AH65" s="48">
        <f t="shared" si="14"/>
        <v>0</v>
      </c>
      <c r="AI65" s="175">
        <f t="shared" si="15"/>
        <v>0</v>
      </c>
      <c r="AJ65" s="175">
        <f t="shared" si="16"/>
        <v>0</v>
      </c>
      <c r="AK65" s="186">
        <f t="shared" si="17"/>
        <v>0</v>
      </c>
      <c r="AL65" s="44">
        <f t="shared" si="17"/>
        <v>0</v>
      </c>
      <c r="AM65" s="46"/>
      <c r="AN65" s="22"/>
      <c r="AO65" s="22"/>
      <c r="AP65" s="46"/>
      <c r="AQ65" s="48">
        <f t="shared" si="18"/>
        <v>0</v>
      </c>
      <c r="AR65" s="175">
        <f t="shared" si="19"/>
        <v>0</v>
      </c>
      <c r="AS65" s="175">
        <f t="shared" si="20"/>
        <v>0</v>
      </c>
      <c r="AT65" s="186">
        <f t="shared" si="21"/>
        <v>0</v>
      </c>
      <c r="AU65" s="44">
        <f t="shared" si="21"/>
        <v>0</v>
      </c>
    </row>
    <row r="66" spans="1:47">
      <c r="A66" s="31">
        <f t="shared" si="22"/>
        <v>51</v>
      </c>
      <c r="B66" s="55">
        <f>Metadata!C74</f>
        <v>0.19151720164129946</v>
      </c>
      <c r="C66" s="29"/>
      <c r="D66" s="22"/>
      <c r="E66" s="22"/>
      <c r="F66" s="46"/>
      <c r="G66" s="48">
        <f t="shared" si="1"/>
        <v>0</v>
      </c>
      <c r="H66" s="175">
        <f t="shared" si="2"/>
        <v>0</v>
      </c>
      <c r="I66" s="175">
        <f t="shared" si="3"/>
        <v>0</v>
      </c>
      <c r="J66" s="186">
        <f t="shared" si="4"/>
        <v>0</v>
      </c>
      <c r="K66" s="44">
        <f t="shared" si="5"/>
        <v>0</v>
      </c>
      <c r="L66" s="46"/>
      <c r="M66" s="22"/>
      <c r="N66" s="22"/>
      <c r="O66" s="46"/>
      <c r="P66" s="48">
        <f t="shared" si="6"/>
        <v>0</v>
      </c>
      <c r="Q66" s="175">
        <f t="shared" si="7"/>
        <v>0</v>
      </c>
      <c r="R66" s="175">
        <f t="shared" si="8"/>
        <v>0</v>
      </c>
      <c r="S66" s="186">
        <f t="shared" si="9"/>
        <v>0</v>
      </c>
      <c r="T66" s="44">
        <f t="shared" si="9"/>
        <v>0</v>
      </c>
      <c r="U66" s="46"/>
      <c r="V66" s="22"/>
      <c r="W66" s="22"/>
      <c r="X66" s="46"/>
      <c r="Y66" s="48">
        <f t="shared" si="10"/>
        <v>0</v>
      </c>
      <c r="Z66" s="175">
        <f t="shared" si="11"/>
        <v>0</v>
      </c>
      <c r="AA66" s="175">
        <f t="shared" si="12"/>
        <v>0</v>
      </c>
      <c r="AB66" s="186">
        <f t="shared" si="13"/>
        <v>0</v>
      </c>
      <c r="AC66" s="44">
        <f t="shared" si="13"/>
        <v>0</v>
      </c>
      <c r="AD66" s="46"/>
      <c r="AE66" s="22"/>
      <c r="AF66" s="22"/>
      <c r="AG66" s="46"/>
      <c r="AH66" s="48">
        <f t="shared" si="14"/>
        <v>0</v>
      </c>
      <c r="AI66" s="175">
        <f t="shared" si="15"/>
        <v>0</v>
      </c>
      <c r="AJ66" s="175">
        <f t="shared" si="16"/>
        <v>0</v>
      </c>
      <c r="AK66" s="186">
        <f t="shared" si="17"/>
        <v>0</v>
      </c>
      <c r="AL66" s="44">
        <f t="shared" si="17"/>
        <v>0</v>
      </c>
      <c r="AM66" s="46"/>
      <c r="AN66" s="22"/>
      <c r="AO66" s="22"/>
      <c r="AP66" s="46"/>
      <c r="AQ66" s="48">
        <f t="shared" si="18"/>
        <v>0</v>
      </c>
      <c r="AR66" s="175">
        <f t="shared" si="19"/>
        <v>0</v>
      </c>
      <c r="AS66" s="175">
        <f t="shared" si="20"/>
        <v>0</v>
      </c>
      <c r="AT66" s="186">
        <f t="shared" si="21"/>
        <v>0</v>
      </c>
      <c r="AU66" s="44">
        <f t="shared" si="21"/>
        <v>0</v>
      </c>
    </row>
    <row r="67" spans="1:47">
      <c r="A67" s="31">
        <f t="shared" si="22"/>
        <v>52</v>
      </c>
      <c r="B67" s="55">
        <f>Metadata!C75</f>
        <v>0.18593903071970821</v>
      </c>
      <c r="C67" s="29"/>
      <c r="D67" s="22"/>
      <c r="E67" s="22"/>
      <c r="F67" s="46"/>
      <c r="G67" s="48">
        <f t="shared" si="1"/>
        <v>0</v>
      </c>
      <c r="H67" s="175">
        <f t="shared" si="2"/>
        <v>0</v>
      </c>
      <c r="I67" s="175">
        <f t="shared" si="3"/>
        <v>0</v>
      </c>
      <c r="J67" s="186">
        <f t="shared" si="4"/>
        <v>0</v>
      </c>
      <c r="K67" s="44">
        <f t="shared" si="5"/>
        <v>0</v>
      </c>
      <c r="L67" s="46"/>
      <c r="M67" s="22"/>
      <c r="N67" s="22"/>
      <c r="O67" s="46"/>
      <c r="P67" s="48">
        <f t="shared" si="6"/>
        <v>0</v>
      </c>
      <c r="Q67" s="175">
        <f t="shared" si="7"/>
        <v>0</v>
      </c>
      <c r="R67" s="175">
        <f t="shared" si="8"/>
        <v>0</v>
      </c>
      <c r="S67" s="186">
        <f t="shared" si="9"/>
        <v>0</v>
      </c>
      <c r="T67" s="44">
        <f t="shared" si="9"/>
        <v>0</v>
      </c>
      <c r="U67" s="46"/>
      <c r="V67" s="22"/>
      <c r="W67" s="22"/>
      <c r="X67" s="46"/>
      <c r="Y67" s="48">
        <f t="shared" si="10"/>
        <v>0</v>
      </c>
      <c r="Z67" s="175">
        <f t="shared" si="11"/>
        <v>0</v>
      </c>
      <c r="AA67" s="175">
        <f t="shared" si="12"/>
        <v>0</v>
      </c>
      <c r="AB67" s="186">
        <f t="shared" si="13"/>
        <v>0</v>
      </c>
      <c r="AC67" s="44">
        <f t="shared" si="13"/>
        <v>0</v>
      </c>
      <c r="AD67" s="46"/>
      <c r="AE67" s="22"/>
      <c r="AF67" s="22"/>
      <c r="AG67" s="46"/>
      <c r="AH67" s="48">
        <f t="shared" si="14"/>
        <v>0</v>
      </c>
      <c r="AI67" s="175">
        <f t="shared" si="15"/>
        <v>0</v>
      </c>
      <c r="AJ67" s="175">
        <f t="shared" si="16"/>
        <v>0</v>
      </c>
      <c r="AK67" s="186">
        <f t="shared" si="17"/>
        <v>0</v>
      </c>
      <c r="AL67" s="44">
        <f t="shared" si="17"/>
        <v>0</v>
      </c>
      <c r="AM67" s="46"/>
      <c r="AN67" s="22"/>
      <c r="AO67" s="22"/>
      <c r="AP67" s="46"/>
      <c r="AQ67" s="48">
        <f t="shared" si="18"/>
        <v>0</v>
      </c>
      <c r="AR67" s="175">
        <f t="shared" si="19"/>
        <v>0</v>
      </c>
      <c r="AS67" s="175">
        <f t="shared" si="20"/>
        <v>0</v>
      </c>
      <c r="AT67" s="186">
        <f t="shared" si="21"/>
        <v>0</v>
      </c>
      <c r="AU67" s="44">
        <f t="shared" si="21"/>
        <v>0</v>
      </c>
    </row>
    <row r="68" spans="1:47">
      <c r="A68" s="31">
        <f t="shared" si="22"/>
        <v>53</v>
      </c>
      <c r="B68" s="55">
        <f>Metadata!C76</f>
        <v>0.18052333079583321</v>
      </c>
      <c r="C68" s="29"/>
      <c r="D68" s="22"/>
      <c r="E68" s="22"/>
      <c r="F68" s="46"/>
      <c r="G68" s="48">
        <f t="shared" si="1"/>
        <v>0</v>
      </c>
      <c r="H68" s="175">
        <f t="shared" si="2"/>
        <v>0</v>
      </c>
      <c r="I68" s="175">
        <f t="shared" si="3"/>
        <v>0</v>
      </c>
      <c r="J68" s="186">
        <f t="shared" si="4"/>
        <v>0</v>
      </c>
      <c r="K68" s="44">
        <f t="shared" si="5"/>
        <v>0</v>
      </c>
      <c r="L68" s="46"/>
      <c r="M68" s="22"/>
      <c r="N68" s="22"/>
      <c r="O68" s="46"/>
      <c r="P68" s="48">
        <f t="shared" si="6"/>
        <v>0</v>
      </c>
      <c r="Q68" s="175">
        <f t="shared" si="7"/>
        <v>0</v>
      </c>
      <c r="R68" s="175">
        <f t="shared" si="8"/>
        <v>0</v>
      </c>
      <c r="S68" s="186">
        <f t="shared" si="9"/>
        <v>0</v>
      </c>
      <c r="T68" s="44">
        <f t="shared" si="9"/>
        <v>0</v>
      </c>
      <c r="U68" s="46"/>
      <c r="V68" s="22"/>
      <c r="W68" s="22"/>
      <c r="X68" s="46"/>
      <c r="Y68" s="48">
        <f t="shared" si="10"/>
        <v>0</v>
      </c>
      <c r="Z68" s="175">
        <f t="shared" si="11"/>
        <v>0</v>
      </c>
      <c r="AA68" s="175">
        <f t="shared" si="12"/>
        <v>0</v>
      </c>
      <c r="AB68" s="186">
        <f t="shared" si="13"/>
        <v>0</v>
      </c>
      <c r="AC68" s="44">
        <f t="shared" si="13"/>
        <v>0</v>
      </c>
      <c r="AD68" s="46"/>
      <c r="AE68" s="22"/>
      <c r="AF68" s="22"/>
      <c r="AG68" s="46"/>
      <c r="AH68" s="48">
        <f t="shared" si="14"/>
        <v>0</v>
      </c>
      <c r="AI68" s="175">
        <f t="shared" si="15"/>
        <v>0</v>
      </c>
      <c r="AJ68" s="175">
        <f t="shared" si="16"/>
        <v>0</v>
      </c>
      <c r="AK68" s="186">
        <f t="shared" si="17"/>
        <v>0</v>
      </c>
      <c r="AL68" s="44">
        <f t="shared" si="17"/>
        <v>0</v>
      </c>
      <c r="AM68" s="46"/>
      <c r="AN68" s="22"/>
      <c r="AO68" s="22"/>
      <c r="AP68" s="46"/>
      <c r="AQ68" s="48">
        <f t="shared" si="18"/>
        <v>0</v>
      </c>
      <c r="AR68" s="175">
        <f t="shared" si="19"/>
        <v>0</v>
      </c>
      <c r="AS68" s="175">
        <f t="shared" si="20"/>
        <v>0</v>
      </c>
      <c r="AT68" s="186">
        <f t="shared" si="21"/>
        <v>0</v>
      </c>
      <c r="AU68" s="44">
        <f t="shared" si="21"/>
        <v>0</v>
      </c>
    </row>
    <row r="69" spans="1:47">
      <c r="A69" s="31">
        <f t="shared" si="22"/>
        <v>54</v>
      </c>
      <c r="B69" s="55">
        <f>Metadata!C77</f>
        <v>0.17526536970469245</v>
      </c>
      <c r="C69" s="29"/>
      <c r="D69" s="22"/>
      <c r="E69" s="22"/>
      <c r="F69" s="46"/>
      <c r="G69" s="48">
        <f t="shared" si="1"/>
        <v>0</v>
      </c>
      <c r="H69" s="175">
        <f t="shared" si="2"/>
        <v>0</v>
      </c>
      <c r="I69" s="175">
        <f t="shared" si="3"/>
        <v>0</v>
      </c>
      <c r="J69" s="186">
        <f t="shared" si="4"/>
        <v>0</v>
      </c>
      <c r="K69" s="44">
        <f t="shared" si="5"/>
        <v>0</v>
      </c>
      <c r="L69" s="46"/>
      <c r="M69" s="22"/>
      <c r="N69" s="22"/>
      <c r="O69" s="46"/>
      <c r="P69" s="48">
        <f t="shared" si="6"/>
        <v>0</v>
      </c>
      <c r="Q69" s="175">
        <f t="shared" si="7"/>
        <v>0</v>
      </c>
      <c r="R69" s="175">
        <f t="shared" si="8"/>
        <v>0</v>
      </c>
      <c r="S69" s="186">
        <f t="shared" si="9"/>
        <v>0</v>
      </c>
      <c r="T69" s="44">
        <f t="shared" si="9"/>
        <v>0</v>
      </c>
      <c r="U69" s="46"/>
      <c r="V69" s="22"/>
      <c r="W69" s="22"/>
      <c r="X69" s="46"/>
      <c r="Y69" s="48">
        <f t="shared" si="10"/>
        <v>0</v>
      </c>
      <c r="Z69" s="175">
        <f t="shared" si="11"/>
        <v>0</v>
      </c>
      <c r="AA69" s="175">
        <f t="shared" si="12"/>
        <v>0</v>
      </c>
      <c r="AB69" s="186">
        <f t="shared" si="13"/>
        <v>0</v>
      </c>
      <c r="AC69" s="44">
        <f t="shared" si="13"/>
        <v>0</v>
      </c>
      <c r="AD69" s="46"/>
      <c r="AE69" s="22"/>
      <c r="AF69" s="22"/>
      <c r="AG69" s="46"/>
      <c r="AH69" s="48">
        <f t="shared" si="14"/>
        <v>0</v>
      </c>
      <c r="AI69" s="175">
        <f t="shared" si="15"/>
        <v>0</v>
      </c>
      <c r="AJ69" s="175">
        <f t="shared" si="16"/>
        <v>0</v>
      </c>
      <c r="AK69" s="186">
        <f t="shared" si="17"/>
        <v>0</v>
      </c>
      <c r="AL69" s="44">
        <f t="shared" si="17"/>
        <v>0</v>
      </c>
      <c r="AM69" s="46"/>
      <c r="AN69" s="22"/>
      <c r="AO69" s="22"/>
      <c r="AP69" s="46"/>
      <c r="AQ69" s="48">
        <f t="shared" si="18"/>
        <v>0</v>
      </c>
      <c r="AR69" s="175">
        <f t="shared" si="19"/>
        <v>0</v>
      </c>
      <c r="AS69" s="175">
        <f t="shared" si="20"/>
        <v>0</v>
      </c>
      <c r="AT69" s="186">
        <f t="shared" si="21"/>
        <v>0</v>
      </c>
      <c r="AU69" s="44">
        <f t="shared" si="21"/>
        <v>0</v>
      </c>
    </row>
    <row r="70" spans="1:47">
      <c r="A70" s="31">
        <f t="shared" si="22"/>
        <v>55</v>
      </c>
      <c r="B70" s="55">
        <f>Metadata!C78</f>
        <v>0.17016055311135189</v>
      </c>
      <c r="C70" s="29"/>
      <c r="D70" s="22"/>
      <c r="E70" s="22"/>
      <c r="F70" s="46"/>
      <c r="G70" s="48">
        <f t="shared" si="1"/>
        <v>0</v>
      </c>
      <c r="H70" s="175">
        <f t="shared" si="2"/>
        <v>0</v>
      </c>
      <c r="I70" s="175">
        <f t="shared" si="3"/>
        <v>0</v>
      </c>
      <c r="J70" s="186">
        <f t="shared" si="4"/>
        <v>0</v>
      </c>
      <c r="K70" s="44">
        <f t="shared" si="5"/>
        <v>0</v>
      </c>
      <c r="L70" s="46"/>
      <c r="M70" s="22"/>
      <c r="N70" s="22"/>
      <c r="O70" s="46"/>
      <c r="P70" s="48">
        <f t="shared" si="6"/>
        <v>0</v>
      </c>
      <c r="Q70" s="175">
        <f t="shared" si="7"/>
        <v>0</v>
      </c>
      <c r="R70" s="175">
        <f t="shared" si="8"/>
        <v>0</v>
      </c>
      <c r="S70" s="186">
        <f t="shared" si="9"/>
        <v>0</v>
      </c>
      <c r="T70" s="44">
        <f t="shared" si="9"/>
        <v>0</v>
      </c>
      <c r="U70" s="46"/>
      <c r="V70" s="22"/>
      <c r="W70" s="22"/>
      <c r="X70" s="46"/>
      <c r="Y70" s="48">
        <f t="shared" si="10"/>
        <v>0</v>
      </c>
      <c r="Z70" s="175">
        <f t="shared" si="11"/>
        <v>0</v>
      </c>
      <c r="AA70" s="175">
        <f t="shared" si="12"/>
        <v>0</v>
      </c>
      <c r="AB70" s="186">
        <f t="shared" si="13"/>
        <v>0</v>
      </c>
      <c r="AC70" s="44">
        <f t="shared" si="13"/>
        <v>0</v>
      </c>
      <c r="AD70" s="46"/>
      <c r="AE70" s="22"/>
      <c r="AF70" s="22"/>
      <c r="AG70" s="46"/>
      <c r="AH70" s="48">
        <f t="shared" si="14"/>
        <v>0</v>
      </c>
      <c r="AI70" s="175">
        <f t="shared" si="15"/>
        <v>0</v>
      </c>
      <c r="AJ70" s="175">
        <f t="shared" si="16"/>
        <v>0</v>
      </c>
      <c r="AK70" s="186">
        <f t="shared" si="17"/>
        <v>0</v>
      </c>
      <c r="AL70" s="44">
        <f t="shared" si="17"/>
        <v>0</v>
      </c>
      <c r="AM70" s="46"/>
      <c r="AN70" s="22"/>
      <c r="AO70" s="22"/>
      <c r="AP70" s="46"/>
      <c r="AQ70" s="48">
        <f t="shared" si="18"/>
        <v>0</v>
      </c>
      <c r="AR70" s="175">
        <f t="shared" si="19"/>
        <v>0</v>
      </c>
      <c r="AS70" s="175">
        <f t="shared" si="20"/>
        <v>0</v>
      </c>
      <c r="AT70" s="186">
        <f t="shared" si="21"/>
        <v>0</v>
      </c>
      <c r="AU70" s="44">
        <f t="shared" si="21"/>
        <v>0</v>
      </c>
    </row>
    <row r="71" spans="1:47">
      <c r="A71" s="31">
        <f t="shared" si="22"/>
        <v>56</v>
      </c>
      <c r="B71" s="55">
        <f>Metadata!C79</f>
        <v>0.16520442049645814</v>
      </c>
      <c r="C71" s="29"/>
      <c r="D71" s="22"/>
      <c r="E71" s="22"/>
      <c r="F71" s="46"/>
      <c r="G71" s="48">
        <f t="shared" si="1"/>
        <v>0</v>
      </c>
      <c r="H71" s="175">
        <f t="shared" si="2"/>
        <v>0</v>
      </c>
      <c r="I71" s="175">
        <f t="shared" si="3"/>
        <v>0</v>
      </c>
      <c r="J71" s="186">
        <f t="shared" si="4"/>
        <v>0</v>
      </c>
      <c r="K71" s="44">
        <f t="shared" si="5"/>
        <v>0</v>
      </c>
      <c r="L71" s="46"/>
      <c r="M71" s="22"/>
      <c r="N71" s="22"/>
      <c r="O71" s="46"/>
      <c r="P71" s="48">
        <f t="shared" si="6"/>
        <v>0</v>
      </c>
      <c r="Q71" s="175">
        <f t="shared" si="7"/>
        <v>0</v>
      </c>
      <c r="R71" s="175">
        <f t="shared" si="8"/>
        <v>0</v>
      </c>
      <c r="S71" s="186">
        <f t="shared" si="9"/>
        <v>0</v>
      </c>
      <c r="T71" s="44">
        <f t="shared" si="9"/>
        <v>0</v>
      </c>
      <c r="U71" s="46"/>
      <c r="V71" s="22"/>
      <c r="W71" s="22"/>
      <c r="X71" s="46"/>
      <c r="Y71" s="48">
        <f t="shared" si="10"/>
        <v>0</v>
      </c>
      <c r="Z71" s="175">
        <f t="shared" si="11"/>
        <v>0</v>
      </c>
      <c r="AA71" s="175">
        <f t="shared" si="12"/>
        <v>0</v>
      </c>
      <c r="AB71" s="186">
        <f t="shared" si="13"/>
        <v>0</v>
      </c>
      <c r="AC71" s="44">
        <f t="shared" si="13"/>
        <v>0</v>
      </c>
      <c r="AD71" s="46"/>
      <c r="AE71" s="22"/>
      <c r="AF71" s="22"/>
      <c r="AG71" s="46"/>
      <c r="AH71" s="48">
        <f t="shared" si="14"/>
        <v>0</v>
      </c>
      <c r="AI71" s="175">
        <f t="shared" si="15"/>
        <v>0</v>
      </c>
      <c r="AJ71" s="175">
        <f t="shared" si="16"/>
        <v>0</v>
      </c>
      <c r="AK71" s="186">
        <f t="shared" si="17"/>
        <v>0</v>
      </c>
      <c r="AL71" s="44">
        <f t="shared" si="17"/>
        <v>0</v>
      </c>
      <c r="AM71" s="46"/>
      <c r="AN71" s="22"/>
      <c r="AO71" s="22"/>
      <c r="AP71" s="46"/>
      <c r="AQ71" s="48">
        <f t="shared" si="18"/>
        <v>0</v>
      </c>
      <c r="AR71" s="175">
        <f t="shared" si="19"/>
        <v>0</v>
      </c>
      <c r="AS71" s="175">
        <f t="shared" si="20"/>
        <v>0</v>
      </c>
      <c r="AT71" s="186">
        <f t="shared" si="21"/>
        <v>0</v>
      </c>
      <c r="AU71" s="44">
        <f t="shared" si="21"/>
        <v>0</v>
      </c>
    </row>
    <row r="72" spans="1:47">
      <c r="A72" s="31">
        <f t="shared" si="22"/>
        <v>57</v>
      </c>
      <c r="B72" s="55">
        <f>Metadata!C80</f>
        <v>0.16039264125869723</v>
      </c>
      <c r="C72" s="29"/>
      <c r="D72" s="22"/>
      <c r="E72" s="22"/>
      <c r="F72" s="46"/>
      <c r="G72" s="48">
        <f t="shared" si="1"/>
        <v>0</v>
      </c>
      <c r="H72" s="175">
        <f t="shared" si="2"/>
        <v>0</v>
      </c>
      <c r="I72" s="175">
        <f t="shared" si="3"/>
        <v>0</v>
      </c>
      <c r="J72" s="186">
        <f t="shared" si="4"/>
        <v>0</v>
      </c>
      <c r="K72" s="44">
        <f t="shared" si="5"/>
        <v>0</v>
      </c>
      <c r="L72" s="46"/>
      <c r="M72" s="22"/>
      <c r="N72" s="22"/>
      <c r="O72" s="46"/>
      <c r="P72" s="48">
        <f t="shared" si="6"/>
        <v>0</v>
      </c>
      <c r="Q72" s="175">
        <f t="shared" si="7"/>
        <v>0</v>
      </c>
      <c r="R72" s="175">
        <f t="shared" si="8"/>
        <v>0</v>
      </c>
      <c r="S72" s="186">
        <f t="shared" si="9"/>
        <v>0</v>
      </c>
      <c r="T72" s="44">
        <f t="shared" si="9"/>
        <v>0</v>
      </c>
      <c r="U72" s="46"/>
      <c r="V72" s="22"/>
      <c r="W72" s="22"/>
      <c r="X72" s="46"/>
      <c r="Y72" s="48">
        <f t="shared" si="10"/>
        <v>0</v>
      </c>
      <c r="Z72" s="175">
        <f t="shared" si="11"/>
        <v>0</v>
      </c>
      <c r="AA72" s="175">
        <f t="shared" si="12"/>
        <v>0</v>
      </c>
      <c r="AB72" s="186">
        <f t="shared" si="13"/>
        <v>0</v>
      </c>
      <c r="AC72" s="44">
        <f t="shared" si="13"/>
        <v>0</v>
      </c>
      <c r="AD72" s="46"/>
      <c r="AE72" s="22"/>
      <c r="AF72" s="22"/>
      <c r="AG72" s="46"/>
      <c r="AH72" s="48">
        <f t="shared" si="14"/>
        <v>0</v>
      </c>
      <c r="AI72" s="175">
        <f t="shared" si="15"/>
        <v>0</v>
      </c>
      <c r="AJ72" s="175">
        <f t="shared" si="16"/>
        <v>0</v>
      </c>
      <c r="AK72" s="186">
        <f t="shared" si="17"/>
        <v>0</v>
      </c>
      <c r="AL72" s="44">
        <f t="shared" si="17"/>
        <v>0</v>
      </c>
      <c r="AM72" s="46"/>
      <c r="AN72" s="22"/>
      <c r="AO72" s="22"/>
      <c r="AP72" s="46"/>
      <c r="AQ72" s="48">
        <f t="shared" si="18"/>
        <v>0</v>
      </c>
      <c r="AR72" s="175">
        <f t="shared" si="19"/>
        <v>0</v>
      </c>
      <c r="AS72" s="175">
        <f t="shared" si="20"/>
        <v>0</v>
      </c>
      <c r="AT72" s="186">
        <f t="shared" si="21"/>
        <v>0</v>
      </c>
      <c r="AU72" s="44">
        <f t="shared" si="21"/>
        <v>0</v>
      </c>
    </row>
    <row r="73" spans="1:47">
      <c r="A73" s="31">
        <f t="shared" si="22"/>
        <v>58</v>
      </c>
      <c r="B73" s="55">
        <f>Metadata!C81</f>
        <v>0.15572101093077401</v>
      </c>
      <c r="C73" s="29"/>
      <c r="D73" s="22"/>
      <c r="E73" s="22"/>
      <c r="F73" s="46"/>
      <c r="G73" s="48">
        <f t="shared" si="1"/>
        <v>0</v>
      </c>
      <c r="H73" s="175">
        <f t="shared" si="2"/>
        <v>0</v>
      </c>
      <c r="I73" s="175">
        <f t="shared" si="3"/>
        <v>0</v>
      </c>
      <c r="J73" s="186">
        <f t="shared" si="4"/>
        <v>0</v>
      </c>
      <c r="K73" s="44">
        <f t="shared" si="5"/>
        <v>0</v>
      </c>
      <c r="L73" s="46"/>
      <c r="M73" s="22"/>
      <c r="N73" s="22"/>
      <c r="O73" s="46"/>
      <c r="P73" s="48">
        <f t="shared" si="6"/>
        <v>0</v>
      </c>
      <c r="Q73" s="175">
        <f t="shared" si="7"/>
        <v>0</v>
      </c>
      <c r="R73" s="175">
        <f t="shared" si="8"/>
        <v>0</v>
      </c>
      <c r="S73" s="186">
        <f t="shared" si="9"/>
        <v>0</v>
      </c>
      <c r="T73" s="44">
        <f t="shared" si="9"/>
        <v>0</v>
      </c>
      <c r="U73" s="46"/>
      <c r="V73" s="22"/>
      <c r="W73" s="22"/>
      <c r="X73" s="46"/>
      <c r="Y73" s="48">
        <f t="shared" si="10"/>
        <v>0</v>
      </c>
      <c r="Z73" s="175">
        <f t="shared" si="11"/>
        <v>0</v>
      </c>
      <c r="AA73" s="175">
        <f t="shared" si="12"/>
        <v>0</v>
      </c>
      <c r="AB73" s="186">
        <f t="shared" si="13"/>
        <v>0</v>
      </c>
      <c r="AC73" s="44">
        <f t="shared" si="13"/>
        <v>0</v>
      </c>
      <c r="AD73" s="46"/>
      <c r="AE73" s="22"/>
      <c r="AF73" s="22"/>
      <c r="AG73" s="46"/>
      <c r="AH73" s="48">
        <f t="shared" si="14"/>
        <v>0</v>
      </c>
      <c r="AI73" s="175">
        <f t="shared" si="15"/>
        <v>0</v>
      </c>
      <c r="AJ73" s="175">
        <f t="shared" si="16"/>
        <v>0</v>
      </c>
      <c r="AK73" s="186">
        <f t="shared" si="17"/>
        <v>0</v>
      </c>
      <c r="AL73" s="44">
        <f t="shared" si="17"/>
        <v>0</v>
      </c>
      <c r="AM73" s="46"/>
      <c r="AN73" s="22"/>
      <c r="AO73" s="22"/>
      <c r="AP73" s="46"/>
      <c r="AQ73" s="48">
        <f t="shared" si="18"/>
        <v>0</v>
      </c>
      <c r="AR73" s="175">
        <f t="shared" si="19"/>
        <v>0</v>
      </c>
      <c r="AS73" s="175">
        <f t="shared" si="20"/>
        <v>0</v>
      </c>
      <c r="AT73" s="186">
        <f t="shared" si="21"/>
        <v>0</v>
      </c>
      <c r="AU73" s="44">
        <f t="shared" si="21"/>
        <v>0</v>
      </c>
    </row>
    <row r="74" spans="1:47">
      <c r="A74" s="31">
        <f t="shared" si="22"/>
        <v>59</v>
      </c>
      <c r="B74" s="55">
        <f>Metadata!C82</f>
        <v>0.15118544750560584</v>
      </c>
      <c r="C74" s="29"/>
      <c r="D74" s="22"/>
      <c r="E74" s="22"/>
      <c r="F74" s="46"/>
      <c r="G74" s="48">
        <f t="shared" si="1"/>
        <v>0</v>
      </c>
      <c r="H74" s="175">
        <f t="shared" si="2"/>
        <v>0</v>
      </c>
      <c r="I74" s="175">
        <f t="shared" si="3"/>
        <v>0</v>
      </c>
      <c r="J74" s="186">
        <f t="shared" si="4"/>
        <v>0</v>
      </c>
      <c r="K74" s="44">
        <f t="shared" si="5"/>
        <v>0</v>
      </c>
      <c r="L74" s="46"/>
      <c r="M74" s="22"/>
      <c r="N74" s="22"/>
      <c r="O74" s="46"/>
      <c r="P74" s="48">
        <f t="shared" si="6"/>
        <v>0</v>
      </c>
      <c r="Q74" s="175">
        <f t="shared" si="7"/>
        <v>0</v>
      </c>
      <c r="R74" s="175">
        <f t="shared" si="8"/>
        <v>0</v>
      </c>
      <c r="S74" s="186">
        <f t="shared" si="9"/>
        <v>0</v>
      </c>
      <c r="T74" s="44">
        <f t="shared" si="9"/>
        <v>0</v>
      </c>
      <c r="U74" s="46"/>
      <c r="V74" s="22"/>
      <c r="W74" s="22"/>
      <c r="X74" s="46"/>
      <c r="Y74" s="48">
        <f t="shared" si="10"/>
        <v>0</v>
      </c>
      <c r="Z74" s="175">
        <f t="shared" si="11"/>
        <v>0</v>
      </c>
      <c r="AA74" s="175">
        <f t="shared" si="12"/>
        <v>0</v>
      </c>
      <c r="AB74" s="186">
        <f t="shared" si="13"/>
        <v>0</v>
      </c>
      <c r="AC74" s="44">
        <f t="shared" si="13"/>
        <v>0</v>
      </c>
      <c r="AD74" s="46"/>
      <c r="AE74" s="22"/>
      <c r="AF74" s="22"/>
      <c r="AG74" s="46"/>
      <c r="AH74" s="48">
        <f t="shared" si="14"/>
        <v>0</v>
      </c>
      <c r="AI74" s="175">
        <f t="shared" si="15"/>
        <v>0</v>
      </c>
      <c r="AJ74" s="175">
        <f t="shared" si="16"/>
        <v>0</v>
      </c>
      <c r="AK74" s="186">
        <f t="shared" si="17"/>
        <v>0</v>
      </c>
      <c r="AL74" s="44">
        <f t="shared" si="17"/>
        <v>0</v>
      </c>
      <c r="AM74" s="46"/>
      <c r="AN74" s="22"/>
      <c r="AO74" s="22"/>
      <c r="AP74" s="46"/>
      <c r="AQ74" s="48">
        <f t="shared" si="18"/>
        <v>0</v>
      </c>
      <c r="AR74" s="175">
        <f t="shared" si="19"/>
        <v>0</v>
      </c>
      <c r="AS74" s="175">
        <f t="shared" si="20"/>
        <v>0</v>
      </c>
      <c r="AT74" s="186">
        <f t="shared" si="21"/>
        <v>0</v>
      </c>
      <c r="AU74" s="44">
        <f t="shared" si="21"/>
        <v>0</v>
      </c>
    </row>
    <row r="75" spans="1:47">
      <c r="A75" s="31">
        <f t="shared" si="22"/>
        <v>60</v>
      </c>
      <c r="B75" s="55">
        <f>Metadata!C83</f>
        <v>0.14678198786952024</v>
      </c>
      <c r="C75" s="29"/>
      <c r="D75" s="22"/>
      <c r="E75" s="22"/>
      <c r="F75" s="46"/>
      <c r="G75" s="48">
        <f t="shared" si="1"/>
        <v>0</v>
      </c>
      <c r="H75" s="175">
        <f t="shared" si="2"/>
        <v>0</v>
      </c>
      <c r="I75" s="175">
        <f t="shared" si="3"/>
        <v>0</v>
      </c>
      <c r="J75" s="186">
        <f t="shared" si="4"/>
        <v>0</v>
      </c>
      <c r="K75" s="44">
        <f t="shared" si="5"/>
        <v>0</v>
      </c>
      <c r="L75" s="46"/>
      <c r="M75" s="22"/>
      <c r="N75" s="22"/>
      <c r="O75" s="46"/>
      <c r="P75" s="48">
        <f t="shared" si="6"/>
        <v>0</v>
      </c>
      <c r="Q75" s="175">
        <f t="shared" si="7"/>
        <v>0</v>
      </c>
      <c r="R75" s="175">
        <f t="shared" si="8"/>
        <v>0</v>
      </c>
      <c r="S75" s="186">
        <f t="shared" si="9"/>
        <v>0</v>
      </c>
      <c r="T75" s="44">
        <f t="shared" si="9"/>
        <v>0</v>
      </c>
      <c r="U75" s="46"/>
      <c r="V75" s="22"/>
      <c r="W75" s="22"/>
      <c r="X75" s="46"/>
      <c r="Y75" s="48">
        <f t="shared" si="10"/>
        <v>0</v>
      </c>
      <c r="Z75" s="175">
        <f t="shared" si="11"/>
        <v>0</v>
      </c>
      <c r="AA75" s="175">
        <f t="shared" si="12"/>
        <v>0</v>
      </c>
      <c r="AB75" s="186">
        <f t="shared" si="13"/>
        <v>0</v>
      </c>
      <c r="AC75" s="44">
        <f t="shared" si="13"/>
        <v>0</v>
      </c>
      <c r="AD75" s="46"/>
      <c r="AE75" s="22"/>
      <c r="AF75" s="22"/>
      <c r="AG75" s="46"/>
      <c r="AH75" s="48">
        <f t="shared" si="14"/>
        <v>0</v>
      </c>
      <c r="AI75" s="175">
        <f t="shared" si="15"/>
        <v>0</v>
      </c>
      <c r="AJ75" s="175">
        <f t="shared" si="16"/>
        <v>0</v>
      </c>
      <c r="AK75" s="186">
        <f t="shared" si="17"/>
        <v>0</v>
      </c>
      <c r="AL75" s="44">
        <f t="shared" si="17"/>
        <v>0</v>
      </c>
      <c r="AM75" s="46"/>
      <c r="AN75" s="22"/>
      <c r="AO75" s="22"/>
      <c r="AP75" s="46"/>
      <c r="AQ75" s="48">
        <f t="shared" si="18"/>
        <v>0</v>
      </c>
      <c r="AR75" s="175">
        <f t="shared" si="19"/>
        <v>0</v>
      </c>
      <c r="AS75" s="175">
        <f t="shared" si="20"/>
        <v>0</v>
      </c>
      <c r="AT75" s="186">
        <f t="shared" si="21"/>
        <v>0</v>
      </c>
      <c r="AU75" s="44">
        <f t="shared" si="21"/>
        <v>0</v>
      </c>
    </row>
    <row r="76" spans="1:47">
      <c r="A76" s="31">
        <f t="shared" si="22"/>
        <v>61</v>
      </c>
      <c r="B76" s="55">
        <f>Metadata!C84</f>
        <v>0.14250678433934003</v>
      </c>
      <c r="C76" s="29"/>
      <c r="D76" s="22"/>
      <c r="E76" s="22"/>
      <c r="F76" s="46"/>
      <c r="G76" s="48">
        <f t="shared" si="1"/>
        <v>0</v>
      </c>
      <c r="H76" s="175">
        <f t="shared" si="2"/>
        <v>0</v>
      </c>
      <c r="I76" s="175">
        <f t="shared" si="3"/>
        <v>0</v>
      </c>
      <c r="J76" s="186">
        <f t="shared" si="4"/>
        <v>0</v>
      </c>
      <c r="K76" s="44">
        <f t="shared" si="5"/>
        <v>0</v>
      </c>
      <c r="L76" s="46"/>
      <c r="M76" s="22"/>
      <c r="N76" s="22"/>
      <c r="O76" s="46"/>
      <c r="P76" s="48">
        <f t="shared" si="6"/>
        <v>0</v>
      </c>
      <c r="Q76" s="175">
        <f t="shared" si="7"/>
        <v>0</v>
      </c>
      <c r="R76" s="175">
        <f t="shared" si="8"/>
        <v>0</v>
      </c>
      <c r="S76" s="186">
        <f t="shared" si="9"/>
        <v>0</v>
      </c>
      <c r="T76" s="44">
        <f t="shared" si="9"/>
        <v>0</v>
      </c>
      <c r="U76" s="46"/>
      <c r="V76" s="22"/>
      <c r="W76" s="22"/>
      <c r="X76" s="46"/>
      <c r="Y76" s="48">
        <f t="shared" si="10"/>
        <v>0</v>
      </c>
      <c r="Z76" s="175">
        <f t="shared" si="11"/>
        <v>0</v>
      </c>
      <c r="AA76" s="175">
        <f t="shared" si="12"/>
        <v>0</v>
      </c>
      <c r="AB76" s="186">
        <f t="shared" si="13"/>
        <v>0</v>
      </c>
      <c r="AC76" s="44">
        <f t="shared" si="13"/>
        <v>0</v>
      </c>
      <c r="AD76" s="46"/>
      <c r="AE76" s="22"/>
      <c r="AF76" s="22"/>
      <c r="AG76" s="46"/>
      <c r="AH76" s="48">
        <f t="shared" si="14"/>
        <v>0</v>
      </c>
      <c r="AI76" s="175">
        <f t="shared" si="15"/>
        <v>0</v>
      </c>
      <c r="AJ76" s="175">
        <f t="shared" si="16"/>
        <v>0</v>
      </c>
      <c r="AK76" s="186">
        <f t="shared" si="17"/>
        <v>0</v>
      </c>
      <c r="AL76" s="44">
        <f t="shared" si="17"/>
        <v>0</v>
      </c>
      <c r="AM76" s="46"/>
      <c r="AN76" s="22"/>
      <c r="AO76" s="22"/>
      <c r="AP76" s="46"/>
      <c r="AQ76" s="48">
        <f t="shared" si="18"/>
        <v>0</v>
      </c>
      <c r="AR76" s="175">
        <f t="shared" si="19"/>
        <v>0</v>
      </c>
      <c r="AS76" s="175">
        <f t="shared" si="20"/>
        <v>0</v>
      </c>
      <c r="AT76" s="186">
        <f t="shared" si="21"/>
        <v>0</v>
      </c>
      <c r="AU76" s="44">
        <f t="shared" si="21"/>
        <v>0</v>
      </c>
    </row>
    <row r="77" spans="1:47">
      <c r="A77" s="31">
        <f t="shared" si="22"/>
        <v>62</v>
      </c>
      <c r="B77" s="55">
        <f>Metadata!C85</f>
        <v>0.13835610130033013</v>
      </c>
      <c r="C77" s="29"/>
      <c r="D77" s="22"/>
      <c r="E77" s="22"/>
      <c r="F77" s="46"/>
      <c r="G77" s="48">
        <f t="shared" si="1"/>
        <v>0</v>
      </c>
      <c r="H77" s="175">
        <f t="shared" si="2"/>
        <v>0</v>
      </c>
      <c r="I77" s="175">
        <f t="shared" si="3"/>
        <v>0</v>
      </c>
      <c r="J77" s="186">
        <f t="shared" si="4"/>
        <v>0</v>
      </c>
      <c r="K77" s="44">
        <f t="shared" si="5"/>
        <v>0</v>
      </c>
      <c r="L77" s="46"/>
      <c r="M77" s="22"/>
      <c r="N77" s="22"/>
      <c r="O77" s="46"/>
      <c r="P77" s="48">
        <f t="shared" si="6"/>
        <v>0</v>
      </c>
      <c r="Q77" s="175">
        <f t="shared" si="7"/>
        <v>0</v>
      </c>
      <c r="R77" s="175">
        <f t="shared" si="8"/>
        <v>0</v>
      </c>
      <c r="S77" s="186">
        <f t="shared" si="9"/>
        <v>0</v>
      </c>
      <c r="T77" s="44">
        <f t="shared" si="9"/>
        <v>0</v>
      </c>
      <c r="U77" s="46"/>
      <c r="V77" s="22"/>
      <c r="W77" s="22"/>
      <c r="X77" s="46"/>
      <c r="Y77" s="48">
        <f t="shared" si="10"/>
        <v>0</v>
      </c>
      <c r="Z77" s="175">
        <f t="shared" si="11"/>
        <v>0</v>
      </c>
      <c r="AA77" s="175">
        <f t="shared" si="12"/>
        <v>0</v>
      </c>
      <c r="AB77" s="186">
        <f t="shared" si="13"/>
        <v>0</v>
      </c>
      <c r="AC77" s="44">
        <f t="shared" si="13"/>
        <v>0</v>
      </c>
      <c r="AD77" s="46"/>
      <c r="AE77" s="22"/>
      <c r="AF77" s="22"/>
      <c r="AG77" s="46"/>
      <c r="AH77" s="48">
        <f t="shared" si="14"/>
        <v>0</v>
      </c>
      <c r="AI77" s="175">
        <f t="shared" si="15"/>
        <v>0</v>
      </c>
      <c r="AJ77" s="175">
        <f t="shared" si="16"/>
        <v>0</v>
      </c>
      <c r="AK77" s="186">
        <f t="shared" si="17"/>
        <v>0</v>
      </c>
      <c r="AL77" s="44">
        <f t="shared" si="17"/>
        <v>0</v>
      </c>
      <c r="AM77" s="46"/>
      <c r="AN77" s="22"/>
      <c r="AO77" s="22"/>
      <c r="AP77" s="46"/>
      <c r="AQ77" s="48">
        <f t="shared" si="18"/>
        <v>0</v>
      </c>
      <c r="AR77" s="175">
        <f t="shared" si="19"/>
        <v>0</v>
      </c>
      <c r="AS77" s="175">
        <f t="shared" si="20"/>
        <v>0</v>
      </c>
      <c r="AT77" s="186">
        <f t="shared" si="21"/>
        <v>0</v>
      </c>
      <c r="AU77" s="44">
        <f t="shared" si="21"/>
        <v>0</v>
      </c>
    </row>
    <row r="78" spans="1:47">
      <c r="A78" s="31">
        <f t="shared" si="22"/>
        <v>63</v>
      </c>
      <c r="B78" s="55">
        <f>Metadata!C86</f>
        <v>0.13432631194206809</v>
      </c>
      <c r="C78" s="29"/>
      <c r="D78" s="22"/>
      <c r="E78" s="22"/>
      <c r="F78" s="46"/>
      <c r="G78" s="48">
        <f t="shared" si="1"/>
        <v>0</v>
      </c>
      <c r="H78" s="175">
        <f t="shared" si="2"/>
        <v>0</v>
      </c>
      <c r="I78" s="175">
        <f t="shared" si="3"/>
        <v>0</v>
      </c>
      <c r="J78" s="186">
        <f t="shared" si="4"/>
        <v>0</v>
      </c>
      <c r="K78" s="44">
        <f t="shared" si="5"/>
        <v>0</v>
      </c>
      <c r="L78" s="46"/>
      <c r="M78" s="22"/>
      <c r="N78" s="22"/>
      <c r="O78" s="46"/>
      <c r="P78" s="48">
        <f t="shared" si="6"/>
        <v>0</v>
      </c>
      <c r="Q78" s="175">
        <f t="shared" si="7"/>
        <v>0</v>
      </c>
      <c r="R78" s="175">
        <f t="shared" si="8"/>
        <v>0</v>
      </c>
      <c r="S78" s="186">
        <f t="shared" si="9"/>
        <v>0</v>
      </c>
      <c r="T78" s="44">
        <f t="shared" si="9"/>
        <v>0</v>
      </c>
      <c r="U78" s="46"/>
      <c r="V78" s="22"/>
      <c r="W78" s="22"/>
      <c r="X78" s="46"/>
      <c r="Y78" s="48">
        <f t="shared" si="10"/>
        <v>0</v>
      </c>
      <c r="Z78" s="175">
        <f t="shared" si="11"/>
        <v>0</v>
      </c>
      <c r="AA78" s="175">
        <f t="shared" si="12"/>
        <v>0</v>
      </c>
      <c r="AB78" s="186">
        <f t="shared" si="13"/>
        <v>0</v>
      </c>
      <c r="AC78" s="44">
        <f t="shared" si="13"/>
        <v>0</v>
      </c>
      <c r="AD78" s="46"/>
      <c r="AE78" s="22"/>
      <c r="AF78" s="22"/>
      <c r="AG78" s="46"/>
      <c r="AH78" s="48">
        <f t="shared" si="14"/>
        <v>0</v>
      </c>
      <c r="AI78" s="175">
        <f t="shared" si="15"/>
        <v>0</v>
      </c>
      <c r="AJ78" s="175">
        <f t="shared" si="16"/>
        <v>0</v>
      </c>
      <c r="AK78" s="186">
        <f t="shared" si="17"/>
        <v>0</v>
      </c>
      <c r="AL78" s="44">
        <f t="shared" si="17"/>
        <v>0</v>
      </c>
      <c r="AM78" s="46"/>
      <c r="AN78" s="22"/>
      <c r="AO78" s="22"/>
      <c r="AP78" s="46"/>
      <c r="AQ78" s="48">
        <f t="shared" si="18"/>
        <v>0</v>
      </c>
      <c r="AR78" s="175">
        <f t="shared" si="19"/>
        <v>0</v>
      </c>
      <c r="AS78" s="175">
        <f t="shared" si="20"/>
        <v>0</v>
      </c>
      <c r="AT78" s="186">
        <f t="shared" si="21"/>
        <v>0</v>
      </c>
      <c r="AU78" s="44">
        <f t="shared" si="21"/>
        <v>0</v>
      </c>
    </row>
    <row r="79" spans="1:47">
      <c r="A79" s="31">
        <f t="shared" si="22"/>
        <v>64</v>
      </c>
      <c r="B79" s="55">
        <f>Metadata!C87</f>
        <v>0.1304138950893865</v>
      </c>
      <c r="C79" s="29"/>
      <c r="D79" s="22"/>
      <c r="E79" s="22"/>
      <c r="F79" s="46"/>
      <c r="G79" s="48">
        <f t="shared" si="1"/>
        <v>0</v>
      </c>
      <c r="H79" s="175">
        <f t="shared" si="2"/>
        <v>0</v>
      </c>
      <c r="I79" s="175">
        <f t="shared" si="3"/>
        <v>0</v>
      </c>
      <c r="J79" s="186">
        <f t="shared" si="4"/>
        <v>0</v>
      </c>
      <c r="K79" s="44">
        <f t="shared" si="5"/>
        <v>0</v>
      </c>
      <c r="L79" s="46"/>
      <c r="M79" s="22"/>
      <c r="N79" s="22"/>
      <c r="O79" s="46"/>
      <c r="P79" s="48">
        <f t="shared" si="6"/>
        <v>0</v>
      </c>
      <c r="Q79" s="175">
        <f t="shared" si="7"/>
        <v>0</v>
      </c>
      <c r="R79" s="175">
        <f t="shared" si="8"/>
        <v>0</v>
      </c>
      <c r="S79" s="186">
        <f t="shared" si="9"/>
        <v>0</v>
      </c>
      <c r="T79" s="44">
        <f t="shared" si="9"/>
        <v>0</v>
      </c>
      <c r="U79" s="46"/>
      <c r="V79" s="22"/>
      <c r="W79" s="22"/>
      <c r="X79" s="46"/>
      <c r="Y79" s="48">
        <f t="shared" si="10"/>
        <v>0</v>
      </c>
      <c r="Z79" s="175">
        <f t="shared" si="11"/>
        <v>0</v>
      </c>
      <c r="AA79" s="175">
        <f t="shared" si="12"/>
        <v>0</v>
      </c>
      <c r="AB79" s="186">
        <f t="shared" si="13"/>
        <v>0</v>
      </c>
      <c r="AC79" s="44">
        <f t="shared" si="13"/>
        <v>0</v>
      </c>
      <c r="AD79" s="46"/>
      <c r="AE79" s="22"/>
      <c r="AF79" s="22"/>
      <c r="AG79" s="46"/>
      <c r="AH79" s="48">
        <f t="shared" si="14"/>
        <v>0</v>
      </c>
      <c r="AI79" s="175">
        <f t="shared" si="15"/>
        <v>0</v>
      </c>
      <c r="AJ79" s="175">
        <f t="shared" si="16"/>
        <v>0</v>
      </c>
      <c r="AK79" s="186">
        <f t="shared" si="17"/>
        <v>0</v>
      </c>
      <c r="AL79" s="44">
        <f t="shared" si="17"/>
        <v>0</v>
      </c>
      <c r="AM79" s="46"/>
      <c r="AN79" s="22"/>
      <c r="AO79" s="22"/>
      <c r="AP79" s="46"/>
      <c r="AQ79" s="48">
        <f t="shared" si="18"/>
        <v>0</v>
      </c>
      <c r="AR79" s="175">
        <f t="shared" si="19"/>
        <v>0</v>
      </c>
      <c r="AS79" s="175">
        <f t="shared" si="20"/>
        <v>0</v>
      </c>
      <c r="AT79" s="186">
        <f t="shared" si="21"/>
        <v>0</v>
      </c>
      <c r="AU79" s="44">
        <f t="shared" si="21"/>
        <v>0</v>
      </c>
    </row>
    <row r="80" spans="1:47">
      <c r="A80" s="31">
        <f t="shared" si="22"/>
        <v>65</v>
      </c>
      <c r="B80" s="55">
        <f>Metadata!C88</f>
        <v>0.12661543212561796</v>
      </c>
      <c r="C80" s="29"/>
      <c r="D80" s="22"/>
      <c r="E80" s="22"/>
      <c r="F80" s="46"/>
      <c r="G80" s="48">
        <f t="shared" ref="G80:G114" si="23">SUM(C80:F80)</f>
        <v>0</v>
      </c>
      <c r="H80" s="175">
        <f t="shared" ref="H80:H114" si="24">C80*$B80</f>
        <v>0</v>
      </c>
      <c r="I80" s="175">
        <f t="shared" ref="I80:I114" si="25">D80*$B80</f>
        <v>0</v>
      </c>
      <c r="J80" s="186">
        <f t="shared" ref="J80:J114" si="26">E80*$B80</f>
        <v>0</v>
      </c>
      <c r="K80" s="44">
        <f t="shared" ref="K80:K114" si="27">F80*$B80</f>
        <v>0</v>
      </c>
      <c r="L80" s="46"/>
      <c r="M80" s="22"/>
      <c r="N80" s="22"/>
      <c r="O80" s="46"/>
      <c r="P80" s="48">
        <f t="shared" ref="P80:P114" si="28">SUM(L80:O80)</f>
        <v>0</v>
      </c>
      <c r="Q80" s="175">
        <f t="shared" ref="Q80:Q114" si="29">L80*$B80</f>
        <v>0</v>
      </c>
      <c r="R80" s="175">
        <f t="shared" ref="R80:R114" si="30">M80*$B80</f>
        <v>0</v>
      </c>
      <c r="S80" s="186">
        <f t="shared" ref="S80:T114" si="31">N80*$B80</f>
        <v>0</v>
      </c>
      <c r="T80" s="44">
        <f t="shared" si="31"/>
        <v>0</v>
      </c>
      <c r="U80" s="124"/>
      <c r="V80" s="22"/>
      <c r="W80" s="22"/>
      <c r="X80" s="46"/>
      <c r="Y80" s="48">
        <f t="shared" ref="Y80:Y114" si="32">SUM(U80:X80)</f>
        <v>0</v>
      </c>
      <c r="Z80" s="175">
        <f t="shared" ref="Z80:Z114" si="33">U80*$B80</f>
        <v>0</v>
      </c>
      <c r="AA80" s="175">
        <f t="shared" ref="AA80:AA114" si="34">V80*$B80</f>
        <v>0</v>
      </c>
      <c r="AB80" s="186">
        <f t="shared" ref="AB80:AC114" si="35">W80*$B80</f>
        <v>0</v>
      </c>
      <c r="AC80" s="44">
        <f t="shared" si="35"/>
        <v>0</v>
      </c>
      <c r="AD80" s="124"/>
      <c r="AE80" s="22"/>
      <c r="AF80" s="22"/>
      <c r="AG80" s="46"/>
      <c r="AH80" s="48">
        <f t="shared" ref="AH80:AH114" si="36">SUM(AD80:AG80)</f>
        <v>0</v>
      </c>
      <c r="AI80" s="175">
        <f t="shared" ref="AI80:AI114" si="37">AD80*$B80</f>
        <v>0</v>
      </c>
      <c r="AJ80" s="175">
        <f t="shared" ref="AJ80:AJ114" si="38">AE80*$B80</f>
        <v>0</v>
      </c>
      <c r="AK80" s="186">
        <f t="shared" ref="AK80:AL114" si="39">AF80*$B80</f>
        <v>0</v>
      </c>
      <c r="AL80" s="44">
        <f t="shared" si="39"/>
        <v>0</v>
      </c>
      <c r="AM80" s="46"/>
      <c r="AN80" s="22"/>
      <c r="AO80" s="22"/>
      <c r="AP80" s="46"/>
      <c r="AQ80" s="48">
        <f t="shared" ref="AQ80:AQ114" si="40">SUM(AM80:AP80)</f>
        <v>0</v>
      </c>
      <c r="AR80" s="175">
        <f t="shared" ref="AR80:AR114" si="41">AM80*$B80</f>
        <v>0</v>
      </c>
      <c r="AS80" s="175">
        <f t="shared" ref="AS80:AS114" si="42">AN80*$B80</f>
        <v>0</v>
      </c>
      <c r="AT80" s="186">
        <f t="shared" ref="AT80:AU114" si="43">AO80*$B80</f>
        <v>0</v>
      </c>
      <c r="AU80" s="44">
        <f t="shared" si="43"/>
        <v>0</v>
      </c>
    </row>
    <row r="81" spans="1:47">
      <c r="A81" s="31">
        <f t="shared" ref="A81:A114" si="44">A80+1</f>
        <v>66</v>
      </c>
      <c r="B81" s="55">
        <f>Metadata!C89</f>
        <v>0.12292760400545433</v>
      </c>
      <c r="C81" s="29"/>
      <c r="D81" s="22"/>
      <c r="E81" s="22"/>
      <c r="F81" s="46"/>
      <c r="G81" s="48">
        <f t="shared" si="23"/>
        <v>0</v>
      </c>
      <c r="H81" s="175">
        <f t="shared" si="24"/>
        <v>0</v>
      </c>
      <c r="I81" s="175">
        <f t="shared" si="25"/>
        <v>0</v>
      </c>
      <c r="J81" s="186">
        <f t="shared" si="26"/>
        <v>0</v>
      </c>
      <c r="K81" s="44">
        <f t="shared" si="27"/>
        <v>0</v>
      </c>
      <c r="L81" s="46"/>
      <c r="M81" s="22"/>
      <c r="N81" s="22"/>
      <c r="O81" s="46"/>
      <c r="P81" s="48">
        <f t="shared" si="28"/>
        <v>0</v>
      </c>
      <c r="Q81" s="175">
        <f t="shared" si="29"/>
        <v>0</v>
      </c>
      <c r="R81" s="175">
        <f t="shared" si="30"/>
        <v>0</v>
      </c>
      <c r="S81" s="186">
        <f t="shared" si="31"/>
        <v>0</v>
      </c>
      <c r="T81" s="44">
        <f t="shared" si="31"/>
        <v>0</v>
      </c>
      <c r="U81" s="46"/>
      <c r="V81" s="22"/>
      <c r="W81" s="22"/>
      <c r="X81" s="46"/>
      <c r="Y81" s="48">
        <f t="shared" si="32"/>
        <v>0</v>
      </c>
      <c r="Z81" s="175">
        <f t="shared" si="33"/>
        <v>0</v>
      </c>
      <c r="AA81" s="175">
        <f t="shared" si="34"/>
        <v>0</v>
      </c>
      <c r="AB81" s="186">
        <f t="shared" si="35"/>
        <v>0</v>
      </c>
      <c r="AC81" s="44">
        <f t="shared" si="35"/>
        <v>0</v>
      </c>
      <c r="AD81" s="46"/>
      <c r="AE81" s="22"/>
      <c r="AF81" s="22"/>
      <c r="AG81" s="46"/>
      <c r="AH81" s="48">
        <f t="shared" si="36"/>
        <v>0</v>
      </c>
      <c r="AI81" s="175">
        <f t="shared" si="37"/>
        <v>0</v>
      </c>
      <c r="AJ81" s="175">
        <f t="shared" si="38"/>
        <v>0</v>
      </c>
      <c r="AK81" s="186">
        <f t="shared" si="39"/>
        <v>0</v>
      </c>
      <c r="AL81" s="44">
        <f t="shared" si="39"/>
        <v>0</v>
      </c>
      <c r="AM81" s="46"/>
      <c r="AN81" s="22"/>
      <c r="AO81" s="22"/>
      <c r="AP81" s="46"/>
      <c r="AQ81" s="48">
        <f t="shared" si="40"/>
        <v>0</v>
      </c>
      <c r="AR81" s="175">
        <f t="shared" si="41"/>
        <v>0</v>
      </c>
      <c r="AS81" s="175">
        <f t="shared" si="42"/>
        <v>0</v>
      </c>
      <c r="AT81" s="186">
        <f t="shared" si="43"/>
        <v>0</v>
      </c>
      <c r="AU81" s="44">
        <f t="shared" si="43"/>
        <v>0</v>
      </c>
    </row>
    <row r="82" spans="1:47">
      <c r="A82" s="31">
        <f t="shared" si="44"/>
        <v>67</v>
      </c>
      <c r="B82" s="55">
        <f>Metadata!C90</f>
        <v>0.11934718835481002</v>
      </c>
      <c r="C82" s="29"/>
      <c r="D82" s="22"/>
      <c r="E82" s="22"/>
      <c r="F82" s="46"/>
      <c r="G82" s="48">
        <f t="shared" si="23"/>
        <v>0</v>
      </c>
      <c r="H82" s="175">
        <f t="shared" si="24"/>
        <v>0</v>
      </c>
      <c r="I82" s="175">
        <f t="shared" si="25"/>
        <v>0</v>
      </c>
      <c r="J82" s="186">
        <f t="shared" si="26"/>
        <v>0</v>
      </c>
      <c r="K82" s="44">
        <f t="shared" si="27"/>
        <v>0</v>
      </c>
      <c r="L82" s="46"/>
      <c r="M82" s="22"/>
      <c r="N82" s="22"/>
      <c r="O82" s="46"/>
      <c r="P82" s="48">
        <f t="shared" si="28"/>
        <v>0</v>
      </c>
      <c r="Q82" s="175">
        <f t="shared" si="29"/>
        <v>0</v>
      </c>
      <c r="R82" s="175">
        <f t="shared" si="30"/>
        <v>0</v>
      </c>
      <c r="S82" s="186">
        <f t="shared" si="31"/>
        <v>0</v>
      </c>
      <c r="T82" s="44">
        <f t="shared" si="31"/>
        <v>0</v>
      </c>
      <c r="U82" s="46"/>
      <c r="V82" s="22"/>
      <c r="W82" s="22"/>
      <c r="X82" s="46"/>
      <c r="Y82" s="48">
        <f t="shared" si="32"/>
        <v>0</v>
      </c>
      <c r="Z82" s="175">
        <f t="shared" si="33"/>
        <v>0</v>
      </c>
      <c r="AA82" s="175">
        <f t="shared" si="34"/>
        <v>0</v>
      </c>
      <c r="AB82" s="186">
        <f t="shared" si="35"/>
        <v>0</v>
      </c>
      <c r="AC82" s="44">
        <f t="shared" si="35"/>
        <v>0</v>
      </c>
      <c r="AD82" s="46"/>
      <c r="AE82" s="22"/>
      <c r="AF82" s="22"/>
      <c r="AG82" s="46"/>
      <c r="AH82" s="48">
        <f t="shared" si="36"/>
        <v>0</v>
      </c>
      <c r="AI82" s="175">
        <f t="shared" si="37"/>
        <v>0</v>
      </c>
      <c r="AJ82" s="175">
        <f t="shared" si="38"/>
        <v>0</v>
      </c>
      <c r="AK82" s="186">
        <f t="shared" si="39"/>
        <v>0</v>
      </c>
      <c r="AL82" s="44">
        <f t="shared" si="39"/>
        <v>0</v>
      </c>
      <c r="AM82" s="46"/>
      <c r="AN82" s="22"/>
      <c r="AO82" s="22"/>
      <c r="AP82" s="46"/>
      <c r="AQ82" s="48">
        <f t="shared" si="40"/>
        <v>0</v>
      </c>
      <c r="AR82" s="175">
        <f t="shared" si="41"/>
        <v>0</v>
      </c>
      <c r="AS82" s="175">
        <f t="shared" si="42"/>
        <v>0</v>
      </c>
      <c r="AT82" s="186">
        <f t="shared" si="43"/>
        <v>0</v>
      </c>
      <c r="AU82" s="44">
        <f t="shared" si="43"/>
        <v>0</v>
      </c>
    </row>
    <row r="83" spans="1:47">
      <c r="A83" s="31">
        <f t="shared" si="44"/>
        <v>68</v>
      </c>
      <c r="B83" s="55">
        <f>Metadata!C91</f>
        <v>0.11587105665515536</v>
      </c>
      <c r="C83" s="29"/>
      <c r="D83" s="22"/>
      <c r="E83" s="22"/>
      <c r="F83" s="46"/>
      <c r="G83" s="48">
        <f t="shared" si="23"/>
        <v>0</v>
      </c>
      <c r="H83" s="175">
        <f t="shared" si="24"/>
        <v>0</v>
      </c>
      <c r="I83" s="175">
        <f t="shared" si="25"/>
        <v>0</v>
      </c>
      <c r="J83" s="186">
        <f t="shared" si="26"/>
        <v>0</v>
      </c>
      <c r="K83" s="44">
        <f t="shared" si="27"/>
        <v>0</v>
      </c>
      <c r="L83" s="46"/>
      <c r="M83" s="22"/>
      <c r="N83" s="22"/>
      <c r="O83" s="46"/>
      <c r="P83" s="48">
        <f t="shared" si="28"/>
        <v>0</v>
      </c>
      <c r="Q83" s="175">
        <f t="shared" si="29"/>
        <v>0</v>
      </c>
      <c r="R83" s="175">
        <f t="shared" si="30"/>
        <v>0</v>
      </c>
      <c r="S83" s="186">
        <f t="shared" si="31"/>
        <v>0</v>
      </c>
      <c r="T83" s="44">
        <f t="shared" si="31"/>
        <v>0</v>
      </c>
      <c r="U83" s="46"/>
      <c r="V83" s="22"/>
      <c r="W83" s="22"/>
      <c r="X83" s="46"/>
      <c r="Y83" s="48">
        <f t="shared" si="32"/>
        <v>0</v>
      </c>
      <c r="Z83" s="175">
        <f t="shared" si="33"/>
        <v>0</v>
      </c>
      <c r="AA83" s="175">
        <f t="shared" si="34"/>
        <v>0</v>
      </c>
      <c r="AB83" s="186">
        <f t="shared" si="35"/>
        <v>0</v>
      </c>
      <c r="AC83" s="44">
        <f t="shared" si="35"/>
        <v>0</v>
      </c>
      <c r="AD83" s="46"/>
      <c r="AE83" s="22"/>
      <c r="AF83" s="22"/>
      <c r="AG83" s="46"/>
      <c r="AH83" s="48">
        <f t="shared" si="36"/>
        <v>0</v>
      </c>
      <c r="AI83" s="175">
        <f t="shared" si="37"/>
        <v>0</v>
      </c>
      <c r="AJ83" s="175">
        <f t="shared" si="38"/>
        <v>0</v>
      </c>
      <c r="AK83" s="186">
        <f t="shared" si="39"/>
        <v>0</v>
      </c>
      <c r="AL83" s="44">
        <f t="shared" si="39"/>
        <v>0</v>
      </c>
      <c r="AM83" s="46"/>
      <c r="AN83" s="22"/>
      <c r="AO83" s="22"/>
      <c r="AP83" s="46"/>
      <c r="AQ83" s="48">
        <f t="shared" si="40"/>
        <v>0</v>
      </c>
      <c r="AR83" s="175">
        <f t="shared" si="41"/>
        <v>0</v>
      </c>
      <c r="AS83" s="175">
        <f t="shared" si="42"/>
        <v>0</v>
      </c>
      <c r="AT83" s="186">
        <f t="shared" si="43"/>
        <v>0</v>
      </c>
      <c r="AU83" s="44">
        <f t="shared" si="43"/>
        <v>0</v>
      </c>
    </row>
    <row r="84" spans="1:47">
      <c r="A84" s="31">
        <f t="shared" si="44"/>
        <v>69</v>
      </c>
      <c r="B84" s="55">
        <f>Metadata!C92</f>
        <v>0.11249617150985958</v>
      </c>
      <c r="C84" s="29"/>
      <c r="D84" s="22"/>
      <c r="E84" s="22"/>
      <c r="F84" s="46"/>
      <c r="G84" s="48">
        <f t="shared" si="23"/>
        <v>0</v>
      </c>
      <c r="H84" s="175">
        <f t="shared" si="24"/>
        <v>0</v>
      </c>
      <c r="I84" s="175">
        <f t="shared" si="25"/>
        <v>0</v>
      </c>
      <c r="J84" s="186">
        <f t="shared" si="26"/>
        <v>0</v>
      </c>
      <c r="K84" s="44">
        <f t="shared" si="27"/>
        <v>0</v>
      </c>
      <c r="L84" s="46"/>
      <c r="M84" s="22"/>
      <c r="N84" s="22"/>
      <c r="O84" s="46"/>
      <c r="P84" s="48">
        <f t="shared" si="28"/>
        <v>0</v>
      </c>
      <c r="Q84" s="175">
        <f t="shared" si="29"/>
        <v>0</v>
      </c>
      <c r="R84" s="175">
        <f t="shared" si="30"/>
        <v>0</v>
      </c>
      <c r="S84" s="186">
        <f t="shared" si="31"/>
        <v>0</v>
      </c>
      <c r="T84" s="44">
        <f t="shared" si="31"/>
        <v>0</v>
      </c>
      <c r="U84" s="46"/>
      <c r="V84" s="22"/>
      <c r="W84" s="22"/>
      <c r="X84" s="46"/>
      <c r="Y84" s="48">
        <f t="shared" si="32"/>
        <v>0</v>
      </c>
      <c r="Z84" s="175">
        <f t="shared" si="33"/>
        <v>0</v>
      </c>
      <c r="AA84" s="175">
        <f t="shared" si="34"/>
        <v>0</v>
      </c>
      <c r="AB84" s="186">
        <f t="shared" si="35"/>
        <v>0</v>
      </c>
      <c r="AC84" s="44">
        <f t="shared" si="35"/>
        <v>0</v>
      </c>
      <c r="AD84" s="46"/>
      <c r="AE84" s="22"/>
      <c r="AF84" s="22"/>
      <c r="AG84" s="46"/>
      <c r="AH84" s="48">
        <f t="shared" si="36"/>
        <v>0</v>
      </c>
      <c r="AI84" s="175">
        <f t="shared" si="37"/>
        <v>0</v>
      </c>
      <c r="AJ84" s="175">
        <f t="shared" si="38"/>
        <v>0</v>
      </c>
      <c r="AK84" s="186">
        <f t="shared" si="39"/>
        <v>0</v>
      </c>
      <c r="AL84" s="44">
        <f t="shared" si="39"/>
        <v>0</v>
      </c>
      <c r="AM84" s="46"/>
      <c r="AN84" s="22"/>
      <c r="AO84" s="22"/>
      <c r="AP84" s="46"/>
      <c r="AQ84" s="48">
        <f t="shared" si="40"/>
        <v>0</v>
      </c>
      <c r="AR84" s="175">
        <f t="shared" si="41"/>
        <v>0</v>
      </c>
      <c r="AS84" s="175">
        <f t="shared" si="42"/>
        <v>0</v>
      </c>
      <c r="AT84" s="186">
        <f t="shared" si="43"/>
        <v>0</v>
      </c>
      <c r="AU84" s="44">
        <f t="shared" si="43"/>
        <v>0</v>
      </c>
    </row>
    <row r="85" spans="1:47">
      <c r="A85" s="31">
        <f t="shared" si="44"/>
        <v>70</v>
      </c>
      <c r="B85" s="55">
        <f>Metadata!C93</f>
        <v>0.10921958399015493</v>
      </c>
      <c r="C85" s="29"/>
      <c r="D85" s="22"/>
      <c r="E85" s="22"/>
      <c r="F85" s="46"/>
      <c r="G85" s="48">
        <f t="shared" si="23"/>
        <v>0</v>
      </c>
      <c r="H85" s="175">
        <f t="shared" si="24"/>
        <v>0</v>
      </c>
      <c r="I85" s="175">
        <f t="shared" si="25"/>
        <v>0</v>
      </c>
      <c r="J85" s="186">
        <f t="shared" si="26"/>
        <v>0</v>
      </c>
      <c r="K85" s="44">
        <f t="shared" si="27"/>
        <v>0</v>
      </c>
      <c r="L85" s="46"/>
      <c r="M85" s="22"/>
      <c r="N85" s="22"/>
      <c r="O85" s="46"/>
      <c r="P85" s="48">
        <f t="shared" si="28"/>
        <v>0</v>
      </c>
      <c r="Q85" s="175">
        <f t="shared" si="29"/>
        <v>0</v>
      </c>
      <c r="R85" s="175">
        <f t="shared" si="30"/>
        <v>0</v>
      </c>
      <c r="S85" s="186">
        <f t="shared" si="31"/>
        <v>0</v>
      </c>
      <c r="T85" s="44">
        <f t="shared" si="31"/>
        <v>0</v>
      </c>
      <c r="U85" s="46"/>
      <c r="V85" s="22"/>
      <c r="W85" s="22"/>
      <c r="X85" s="46"/>
      <c r="Y85" s="48">
        <f t="shared" si="32"/>
        <v>0</v>
      </c>
      <c r="Z85" s="175">
        <f t="shared" si="33"/>
        <v>0</v>
      </c>
      <c r="AA85" s="175">
        <f t="shared" si="34"/>
        <v>0</v>
      </c>
      <c r="AB85" s="186">
        <f t="shared" si="35"/>
        <v>0</v>
      </c>
      <c r="AC85" s="44">
        <f t="shared" si="35"/>
        <v>0</v>
      </c>
      <c r="AD85" s="46"/>
      <c r="AE85" s="22"/>
      <c r="AF85" s="22"/>
      <c r="AG85" s="46"/>
      <c r="AH85" s="48">
        <f t="shared" si="36"/>
        <v>0</v>
      </c>
      <c r="AI85" s="175">
        <f t="shared" si="37"/>
        <v>0</v>
      </c>
      <c r="AJ85" s="175">
        <f t="shared" si="38"/>
        <v>0</v>
      </c>
      <c r="AK85" s="186">
        <f t="shared" si="39"/>
        <v>0</v>
      </c>
      <c r="AL85" s="44">
        <f t="shared" si="39"/>
        <v>0</v>
      </c>
      <c r="AM85" s="46"/>
      <c r="AN85" s="22"/>
      <c r="AO85" s="22"/>
      <c r="AP85" s="46"/>
      <c r="AQ85" s="48">
        <f t="shared" si="40"/>
        <v>0</v>
      </c>
      <c r="AR85" s="175">
        <f t="shared" si="41"/>
        <v>0</v>
      </c>
      <c r="AS85" s="175">
        <f t="shared" si="42"/>
        <v>0</v>
      </c>
      <c r="AT85" s="186">
        <f t="shared" si="43"/>
        <v>0</v>
      </c>
      <c r="AU85" s="44">
        <f t="shared" si="43"/>
        <v>0</v>
      </c>
    </row>
    <row r="86" spans="1:47">
      <c r="A86" s="31">
        <f t="shared" si="44"/>
        <v>71</v>
      </c>
      <c r="B86" s="55">
        <f>Metadata!C94</f>
        <v>0.10603843105840284</v>
      </c>
      <c r="C86" s="29"/>
      <c r="D86" s="22"/>
      <c r="E86" s="22"/>
      <c r="F86" s="46"/>
      <c r="G86" s="48">
        <f t="shared" si="23"/>
        <v>0</v>
      </c>
      <c r="H86" s="175">
        <f t="shared" si="24"/>
        <v>0</v>
      </c>
      <c r="I86" s="175">
        <f t="shared" si="25"/>
        <v>0</v>
      </c>
      <c r="J86" s="186">
        <f t="shared" si="26"/>
        <v>0</v>
      </c>
      <c r="K86" s="44">
        <f t="shared" si="27"/>
        <v>0</v>
      </c>
      <c r="L86" s="46"/>
      <c r="M86" s="22"/>
      <c r="N86" s="22"/>
      <c r="O86" s="46"/>
      <c r="P86" s="48">
        <f t="shared" si="28"/>
        <v>0</v>
      </c>
      <c r="Q86" s="175">
        <f t="shared" si="29"/>
        <v>0</v>
      </c>
      <c r="R86" s="175">
        <f t="shared" si="30"/>
        <v>0</v>
      </c>
      <c r="S86" s="186">
        <f t="shared" si="31"/>
        <v>0</v>
      </c>
      <c r="T86" s="44">
        <f t="shared" si="31"/>
        <v>0</v>
      </c>
      <c r="U86" s="46"/>
      <c r="V86" s="22"/>
      <c r="W86" s="22"/>
      <c r="X86" s="46"/>
      <c r="Y86" s="48">
        <f t="shared" si="32"/>
        <v>0</v>
      </c>
      <c r="Z86" s="175">
        <f t="shared" si="33"/>
        <v>0</v>
      </c>
      <c r="AA86" s="175">
        <f t="shared" si="34"/>
        <v>0</v>
      </c>
      <c r="AB86" s="186">
        <f t="shared" si="35"/>
        <v>0</v>
      </c>
      <c r="AC86" s="44">
        <f t="shared" si="35"/>
        <v>0</v>
      </c>
      <c r="AD86" s="46"/>
      <c r="AE86" s="22"/>
      <c r="AF86" s="22"/>
      <c r="AG86" s="46"/>
      <c r="AH86" s="48">
        <f t="shared" si="36"/>
        <v>0</v>
      </c>
      <c r="AI86" s="175">
        <f t="shared" si="37"/>
        <v>0</v>
      </c>
      <c r="AJ86" s="175">
        <f t="shared" si="38"/>
        <v>0</v>
      </c>
      <c r="AK86" s="186">
        <f t="shared" si="39"/>
        <v>0</v>
      </c>
      <c r="AL86" s="44">
        <f t="shared" si="39"/>
        <v>0</v>
      </c>
      <c r="AM86" s="46"/>
      <c r="AN86" s="22"/>
      <c r="AO86" s="22"/>
      <c r="AP86" s="46"/>
      <c r="AQ86" s="48">
        <f t="shared" si="40"/>
        <v>0</v>
      </c>
      <c r="AR86" s="175">
        <f t="shared" si="41"/>
        <v>0</v>
      </c>
      <c r="AS86" s="175">
        <f t="shared" si="42"/>
        <v>0</v>
      </c>
      <c r="AT86" s="186">
        <f t="shared" si="43"/>
        <v>0</v>
      </c>
      <c r="AU86" s="44">
        <f t="shared" si="43"/>
        <v>0</v>
      </c>
    </row>
    <row r="87" spans="1:47">
      <c r="A87" s="31">
        <f t="shared" si="44"/>
        <v>72</v>
      </c>
      <c r="B87" s="55">
        <f>Metadata!C95</f>
        <v>0.10294993306641052</v>
      </c>
      <c r="C87" s="29"/>
      <c r="D87" s="22"/>
      <c r="E87" s="22"/>
      <c r="F87" s="46"/>
      <c r="G87" s="48">
        <f t="shared" si="23"/>
        <v>0</v>
      </c>
      <c r="H87" s="175">
        <f t="shared" si="24"/>
        <v>0</v>
      </c>
      <c r="I87" s="175">
        <f t="shared" si="25"/>
        <v>0</v>
      </c>
      <c r="J87" s="186">
        <f t="shared" si="26"/>
        <v>0</v>
      </c>
      <c r="K87" s="44">
        <f t="shared" si="27"/>
        <v>0</v>
      </c>
      <c r="L87" s="46"/>
      <c r="M87" s="22"/>
      <c r="N87" s="22"/>
      <c r="O87" s="46"/>
      <c r="P87" s="48">
        <f t="shared" si="28"/>
        <v>0</v>
      </c>
      <c r="Q87" s="175">
        <f t="shared" si="29"/>
        <v>0</v>
      </c>
      <c r="R87" s="175">
        <f t="shared" si="30"/>
        <v>0</v>
      </c>
      <c r="S87" s="186">
        <f t="shared" si="31"/>
        <v>0</v>
      </c>
      <c r="T87" s="44">
        <f t="shared" si="31"/>
        <v>0</v>
      </c>
      <c r="U87" s="46"/>
      <c r="V87" s="22"/>
      <c r="W87" s="22"/>
      <c r="X87" s="46"/>
      <c r="Y87" s="48">
        <f t="shared" si="32"/>
        <v>0</v>
      </c>
      <c r="Z87" s="175">
        <f t="shared" si="33"/>
        <v>0</v>
      </c>
      <c r="AA87" s="175">
        <f t="shared" si="34"/>
        <v>0</v>
      </c>
      <c r="AB87" s="186">
        <f t="shared" si="35"/>
        <v>0</v>
      </c>
      <c r="AC87" s="44">
        <f t="shared" si="35"/>
        <v>0</v>
      </c>
      <c r="AD87" s="46"/>
      <c r="AE87" s="22"/>
      <c r="AF87" s="22"/>
      <c r="AG87" s="46"/>
      <c r="AH87" s="48">
        <f t="shared" si="36"/>
        <v>0</v>
      </c>
      <c r="AI87" s="175">
        <f t="shared" si="37"/>
        <v>0</v>
      </c>
      <c r="AJ87" s="175">
        <f t="shared" si="38"/>
        <v>0</v>
      </c>
      <c r="AK87" s="186">
        <f t="shared" si="39"/>
        <v>0</v>
      </c>
      <c r="AL87" s="44">
        <f t="shared" si="39"/>
        <v>0</v>
      </c>
      <c r="AM87" s="46"/>
      <c r="AN87" s="22"/>
      <c r="AO87" s="22"/>
      <c r="AP87" s="46"/>
      <c r="AQ87" s="48">
        <f t="shared" si="40"/>
        <v>0</v>
      </c>
      <c r="AR87" s="175">
        <f t="shared" si="41"/>
        <v>0</v>
      </c>
      <c r="AS87" s="175">
        <f t="shared" si="42"/>
        <v>0</v>
      </c>
      <c r="AT87" s="186">
        <f t="shared" si="43"/>
        <v>0</v>
      </c>
      <c r="AU87" s="44">
        <f t="shared" si="43"/>
        <v>0</v>
      </c>
    </row>
    <row r="88" spans="1:47">
      <c r="A88" s="31">
        <f t="shared" si="44"/>
        <v>73</v>
      </c>
      <c r="B88" s="55">
        <f>Metadata!C96</f>
        <v>9.9951391326612155E-2</v>
      </c>
      <c r="C88" s="29"/>
      <c r="D88" s="22"/>
      <c r="E88" s="22"/>
      <c r="F88" s="46"/>
      <c r="G88" s="48">
        <f t="shared" si="23"/>
        <v>0</v>
      </c>
      <c r="H88" s="175">
        <f t="shared" si="24"/>
        <v>0</v>
      </c>
      <c r="I88" s="175">
        <f t="shared" si="25"/>
        <v>0</v>
      </c>
      <c r="J88" s="186">
        <f t="shared" si="26"/>
        <v>0</v>
      </c>
      <c r="K88" s="44">
        <f t="shared" si="27"/>
        <v>0</v>
      </c>
      <c r="L88" s="46"/>
      <c r="M88" s="22"/>
      <c r="N88" s="22"/>
      <c r="O88" s="46"/>
      <c r="P88" s="48">
        <f t="shared" si="28"/>
        <v>0</v>
      </c>
      <c r="Q88" s="175">
        <f t="shared" si="29"/>
        <v>0</v>
      </c>
      <c r="R88" s="175">
        <f t="shared" si="30"/>
        <v>0</v>
      </c>
      <c r="S88" s="186">
        <f t="shared" si="31"/>
        <v>0</v>
      </c>
      <c r="T88" s="44">
        <f t="shared" si="31"/>
        <v>0</v>
      </c>
      <c r="U88" s="46"/>
      <c r="V88" s="22"/>
      <c r="W88" s="22"/>
      <c r="X88" s="46"/>
      <c r="Y88" s="48">
        <f t="shared" si="32"/>
        <v>0</v>
      </c>
      <c r="Z88" s="175">
        <f t="shared" si="33"/>
        <v>0</v>
      </c>
      <c r="AA88" s="175">
        <f t="shared" si="34"/>
        <v>0</v>
      </c>
      <c r="AB88" s="186">
        <f t="shared" si="35"/>
        <v>0</v>
      </c>
      <c r="AC88" s="44">
        <f t="shared" si="35"/>
        <v>0</v>
      </c>
      <c r="AD88" s="46"/>
      <c r="AE88" s="22"/>
      <c r="AF88" s="22"/>
      <c r="AG88" s="46"/>
      <c r="AH88" s="48">
        <f t="shared" si="36"/>
        <v>0</v>
      </c>
      <c r="AI88" s="175">
        <f t="shared" si="37"/>
        <v>0</v>
      </c>
      <c r="AJ88" s="175">
        <f t="shared" si="38"/>
        <v>0</v>
      </c>
      <c r="AK88" s="186">
        <f t="shared" si="39"/>
        <v>0</v>
      </c>
      <c r="AL88" s="44">
        <f t="shared" si="39"/>
        <v>0</v>
      </c>
      <c r="AM88" s="46"/>
      <c r="AN88" s="22"/>
      <c r="AO88" s="22"/>
      <c r="AP88" s="46"/>
      <c r="AQ88" s="48">
        <f t="shared" si="40"/>
        <v>0</v>
      </c>
      <c r="AR88" s="175">
        <f t="shared" si="41"/>
        <v>0</v>
      </c>
      <c r="AS88" s="175">
        <f t="shared" si="42"/>
        <v>0</v>
      </c>
      <c r="AT88" s="186">
        <f t="shared" si="43"/>
        <v>0</v>
      </c>
      <c r="AU88" s="44">
        <f t="shared" si="43"/>
        <v>0</v>
      </c>
    </row>
    <row r="89" spans="1:47">
      <c r="A89" s="31">
        <f t="shared" si="44"/>
        <v>74</v>
      </c>
      <c r="B89" s="55">
        <f>Metadata!C97</f>
        <v>9.7040185753992383E-2</v>
      </c>
      <c r="C89" s="29"/>
      <c r="D89" s="22"/>
      <c r="E89" s="22"/>
      <c r="F89" s="46"/>
      <c r="G89" s="48">
        <f t="shared" si="23"/>
        <v>0</v>
      </c>
      <c r="H89" s="175">
        <f t="shared" si="24"/>
        <v>0</v>
      </c>
      <c r="I89" s="175">
        <f t="shared" si="25"/>
        <v>0</v>
      </c>
      <c r="J89" s="186">
        <f t="shared" si="26"/>
        <v>0</v>
      </c>
      <c r="K89" s="44">
        <f t="shared" si="27"/>
        <v>0</v>
      </c>
      <c r="L89" s="46"/>
      <c r="M89" s="22"/>
      <c r="N89" s="22"/>
      <c r="O89" s="46"/>
      <c r="P89" s="48">
        <f t="shared" si="28"/>
        <v>0</v>
      </c>
      <c r="Q89" s="175">
        <f t="shared" si="29"/>
        <v>0</v>
      </c>
      <c r="R89" s="175">
        <f t="shared" si="30"/>
        <v>0</v>
      </c>
      <c r="S89" s="186">
        <f t="shared" si="31"/>
        <v>0</v>
      </c>
      <c r="T89" s="44">
        <f t="shared" si="31"/>
        <v>0</v>
      </c>
      <c r="U89" s="46"/>
      <c r="V89" s="22"/>
      <c r="W89" s="22"/>
      <c r="X89" s="46"/>
      <c r="Y89" s="48">
        <f t="shared" si="32"/>
        <v>0</v>
      </c>
      <c r="Z89" s="175">
        <f t="shared" si="33"/>
        <v>0</v>
      </c>
      <c r="AA89" s="175">
        <f t="shared" si="34"/>
        <v>0</v>
      </c>
      <c r="AB89" s="186">
        <f t="shared" si="35"/>
        <v>0</v>
      </c>
      <c r="AC89" s="44">
        <f t="shared" si="35"/>
        <v>0</v>
      </c>
      <c r="AD89" s="46"/>
      <c r="AE89" s="22"/>
      <c r="AF89" s="22"/>
      <c r="AG89" s="46"/>
      <c r="AH89" s="48">
        <f t="shared" si="36"/>
        <v>0</v>
      </c>
      <c r="AI89" s="175">
        <f t="shared" si="37"/>
        <v>0</v>
      </c>
      <c r="AJ89" s="175">
        <f t="shared" si="38"/>
        <v>0</v>
      </c>
      <c r="AK89" s="186">
        <f t="shared" si="39"/>
        <v>0</v>
      </c>
      <c r="AL89" s="44">
        <f t="shared" si="39"/>
        <v>0</v>
      </c>
      <c r="AM89" s="46"/>
      <c r="AN89" s="22"/>
      <c r="AO89" s="22"/>
      <c r="AP89" s="46"/>
      <c r="AQ89" s="48">
        <f t="shared" si="40"/>
        <v>0</v>
      </c>
      <c r="AR89" s="175">
        <f t="shared" si="41"/>
        <v>0</v>
      </c>
      <c r="AS89" s="175">
        <f t="shared" si="42"/>
        <v>0</v>
      </c>
      <c r="AT89" s="186">
        <f t="shared" si="43"/>
        <v>0</v>
      </c>
      <c r="AU89" s="44">
        <f t="shared" si="43"/>
        <v>0</v>
      </c>
    </row>
    <row r="90" spans="1:47">
      <c r="A90" s="31">
        <f t="shared" si="44"/>
        <v>75</v>
      </c>
      <c r="B90" s="55">
        <f>Metadata!C98</f>
        <v>9.4213772576691626E-2</v>
      </c>
      <c r="C90" s="29"/>
      <c r="D90" s="22"/>
      <c r="E90" s="22"/>
      <c r="F90" s="46"/>
      <c r="G90" s="48">
        <f t="shared" si="23"/>
        <v>0</v>
      </c>
      <c r="H90" s="175">
        <f t="shared" si="24"/>
        <v>0</v>
      </c>
      <c r="I90" s="175">
        <f t="shared" si="25"/>
        <v>0</v>
      </c>
      <c r="J90" s="186">
        <f t="shared" si="26"/>
        <v>0</v>
      </c>
      <c r="K90" s="44">
        <f t="shared" si="27"/>
        <v>0</v>
      </c>
      <c r="L90" s="46"/>
      <c r="M90" s="22"/>
      <c r="N90" s="22"/>
      <c r="O90" s="46"/>
      <c r="P90" s="48">
        <f t="shared" si="28"/>
        <v>0</v>
      </c>
      <c r="Q90" s="175">
        <f t="shared" si="29"/>
        <v>0</v>
      </c>
      <c r="R90" s="175">
        <f t="shared" si="30"/>
        <v>0</v>
      </c>
      <c r="S90" s="186">
        <f t="shared" si="31"/>
        <v>0</v>
      </c>
      <c r="T90" s="44">
        <f t="shared" si="31"/>
        <v>0</v>
      </c>
      <c r="U90" s="46"/>
      <c r="V90" s="22"/>
      <c r="W90" s="22"/>
      <c r="X90" s="46"/>
      <c r="Y90" s="48">
        <f t="shared" si="32"/>
        <v>0</v>
      </c>
      <c r="Z90" s="175">
        <f t="shared" si="33"/>
        <v>0</v>
      </c>
      <c r="AA90" s="175">
        <f t="shared" si="34"/>
        <v>0</v>
      </c>
      <c r="AB90" s="186">
        <f t="shared" si="35"/>
        <v>0</v>
      </c>
      <c r="AC90" s="44">
        <f t="shared" si="35"/>
        <v>0</v>
      </c>
      <c r="AD90" s="46"/>
      <c r="AE90" s="22"/>
      <c r="AF90" s="22"/>
      <c r="AG90" s="46"/>
      <c r="AH90" s="48">
        <f t="shared" si="36"/>
        <v>0</v>
      </c>
      <c r="AI90" s="175">
        <f t="shared" si="37"/>
        <v>0</v>
      </c>
      <c r="AJ90" s="175">
        <f t="shared" si="38"/>
        <v>0</v>
      </c>
      <c r="AK90" s="186">
        <f t="shared" si="39"/>
        <v>0</v>
      </c>
      <c r="AL90" s="44">
        <f t="shared" si="39"/>
        <v>0</v>
      </c>
      <c r="AM90" s="46"/>
      <c r="AN90" s="22"/>
      <c r="AO90" s="22"/>
      <c r="AP90" s="46"/>
      <c r="AQ90" s="48">
        <f t="shared" si="40"/>
        <v>0</v>
      </c>
      <c r="AR90" s="175">
        <f t="shared" si="41"/>
        <v>0</v>
      </c>
      <c r="AS90" s="175">
        <f t="shared" si="42"/>
        <v>0</v>
      </c>
      <c r="AT90" s="186">
        <f t="shared" si="43"/>
        <v>0</v>
      </c>
      <c r="AU90" s="44">
        <f t="shared" si="43"/>
        <v>0</v>
      </c>
    </row>
    <row r="91" spans="1:47">
      <c r="A91" s="31">
        <f t="shared" si="44"/>
        <v>76</v>
      </c>
      <c r="B91" s="55">
        <f>Metadata!C99</f>
        <v>9.1915875684577208E-2</v>
      </c>
      <c r="C91" s="29"/>
      <c r="D91" s="22"/>
      <c r="E91" s="22"/>
      <c r="F91" s="46"/>
      <c r="G91" s="48">
        <f t="shared" si="23"/>
        <v>0</v>
      </c>
      <c r="H91" s="175">
        <f t="shared" si="24"/>
        <v>0</v>
      </c>
      <c r="I91" s="175">
        <f t="shared" si="25"/>
        <v>0</v>
      </c>
      <c r="J91" s="186">
        <f t="shared" si="26"/>
        <v>0</v>
      </c>
      <c r="K91" s="44">
        <f t="shared" si="27"/>
        <v>0</v>
      </c>
      <c r="L91" s="46"/>
      <c r="M91" s="22"/>
      <c r="N91" s="22"/>
      <c r="O91" s="46"/>
      <c r="P91" s="48">
        <f t="shared" si="28"/>
        <v>0</v>
      </c>
      <c r="Q91" s="175">
        <f t="shared" si="29"/>
        <v>0</v>
      </c>
      <c r="R91" s="175">
        <f t="shared" si="30"/>
        <v>0</v>
      </c>
      <c r="S91" s="186">
        <f t="shared" si="31"/>
        <v>0</v>
      </c>
      <c r="T91" s="44">
        <f t="shared" si="31"/>
        <v>0</v>
      </c>
      <c r="U91" s="46"/>
      <c r="V91" s="22"/>
      <c r="W91" s="22"/>
      <c r="X91" s="46"/>
      <c r="Y91" s="48">
        <f t="shared" si="32"/>
        <v>0</v>
      </c>
      <c r="Z91" s="175">
        <f t="shared" si="33"/>
        <v>0</v>
      </c>
      <c r="AA91" s="175">
        <f t="shared" si="34"/>
        <v>0</v>
      </c>
      <c r="AB91" s="186">
        <f t="shared" si="35"/>
        <v>0</v>
      </c>
      <c r="AC91" s="44">
        <f t="shared" si="35"/>
        <v>0</v>
      </c>
      <c r="AD91" s="46"/>
      <c r="AE91" s="22"/>
      <c r="AF91" s="22"/>
      <c r="AG91" s="46"/>
      <c r="AH91" s="48">
        <f t="shared" si="36"/>
        <v>0</v>
      </c>
      <c r="AI91" s="175">
        <f t="shared" si="37"/>
        <v>0</v>
      </c>
      <c r="AJ91" s="175">
        <f t="shared" si="38"/>
        <v>0</v>
      </c>
      <c r="AK91" s="186">
        <f t="shared" si="39"/>
        <v>0</v>
      </c>
      <c r="AL91" s="44">
        <f t="shared" si="39"/>
        <v>0</v>
      </c>
      <c r="AM91" s="46"/>
      <c r="AN91" s="22"/>
      <c r="AO91" s="22"/>
      <c r="AP91" s="46"/>
      <c r="AQ91" s="48">
        <f t="shared" si="40"/>
        <v>0</v>
      </c>
      <c r="AR91" s="175">
        <f t="shared" si="41"/>
        <v>0</v>
      </c>
      <c r="AS91" s="175">
        <f t="shared" si="42"/>
        <v>0</v>
      </c>
      <c r="AT91" s="186">
        <f t="shared" si="43"/>
        <v>0</v>
      </c>
      <c r="AU91" s="44">
        <f t="shared" si="43"/>
        <v>0</v>
      </c>
    </row>
    <row r="92" spans="1:47">
      <c r="A92" s="31">
        <f t="shared" si="44"/>
        <v>77</v>
      </c>
      <c r="B92" s="55">
        <f>Metadata!C100</f>
        <v>8.9674025058124107E-2</v>
      </c>
      <c r="C92" s="29"/>
      <c r="D92" s="22"/>
      <c r="E92" s="22"/>
      <c r="F92" s="46"/>
      <c r="G92" s="48">
        <f t="shared" si="23"/>
        <v>0</v>
      </c>
      <c r="H92" s="175">
        <f t="shared" si="24"/>
        <v>0</v>
      </c>
      <c r="I92" s="175">
        <f t="shared" si="25"/>
        <v>0</v>
      </c>
      <c r="J92" s="186">
        <f t="shared" si="26"/>
        <v>0</v>
      </c>
      <c r="K92" s="44">
        <f t="shared" si="27"/>
        <v>0</v>
      </c>
      <c r="L92" s="46"/>
      <c r="M92" s="22"/>
      <c r="N92" s="22"/>
      <c r="O92" s="46"/>
      <c r="P92" s="48">
        <f t="shared" si="28"/>
        <v>0</v>
      </c>
      <c r="Q92" s="175">
        <f t="shared" si="29"/>
        <v>0</v>
      </c>
      <c r="R92" s="175">
        <f t="shared" si="30"/>
        <v>0</v>
      </c>
      <c r="S92" s="186">
        <f t="shared" si="31"/>
        <v>0</v>
      </c>
      <c r="T92" s="44">
        <f t="shared" si="31"/>
        <v>0</v>
      </c>
      <c r="U92" s="46"/>
      <c r="V92" s="22"/>
      <c r="W92" s="22"/>
      <c r="X92" s="46"/>
      <c r="Y92" s="48">
        <f t="shared" si="32"/>
        <v>0</v>
      </c>
      <c r="Z92" s="175">
        <f t="shared" si="33"/>
        <v>0</v>
      </c>
      <c r="AA92" s="175">
        <f t="shared" si="34"/>
        <v>0</v>
      </c>
      <c r="AB92" s="186">
        <f t="shared" si="35"/>
        <v>0</v>
      </c>
      <c r="AC92" s="44">
        <f t="shared" si="35"/>
        <v>0</v>
      </c>
      <c r="AD92" s="46"/>
      <c r="AE92" s="22"/>
      <c r="AF92" s="22"/>
      <c r="AG92" s="46"/>
      <c r="AH92" s="48">
        <f t="shared" si="36"/>
        <v>0</v>
      </c>
      <c r="AI92" s="175">
        <f t="shared" si="37"/>
        <v>0</v>
      </c>
      <c r="AJ92" s="175">
        <f t="shared" si="38"/>
        <v>0</v>
      </c>
      <c r="AK92" s="186">
        <f t="shared" si="39"/>
        <v>0</v>
      </c>
      <c r="AL92" s="44">
        <f t="shared" si="39"/>
        <v>0</v>
      </c>
      <c r="AM92" s="46"/>
      <c r="AN92" s="22"/>
      <c r="AO92" s="22"/>
      <c r="AP92" s="46"/>
      <c r="AQ92" s="48">
        <f t="shared" si="40"/>
        <v>0</v>
      </c>
      <c r="AR92" s="175">
        <f t="shared" si="41"/>
        <v>0</v>
      </c>
      <c r="AS92" s="175">
        <f t="shared" si="42"/>
        <v>0</v>
      </c>
      <c r="AT92" s="186">
        <f t="shared" si="43"/>
        <v>0</v>
      </c>
      <c r="AU92" s="44">
        <f t="shared" si="43"/>
        <v>0</v>
      </c>
    </row>
    <row r="93" spans="1:47">
      <c r="A93" s="31">
        <f t="shared" si="44"/>
        <v>78</v>
      </c>
      <c r="B93" s="55">
        <f>Metadata!C101</f>
        <v>8.7486853715243035E-2</v>
      </c>
      <c r="C93" s="29"/>
      <c r="D93" s="22"/>
      <c r="E93" s="22"/>
      <c r="F93" s="46"/>
      <c r="G93" s="48">
        <f t="shared" si="23"/>
        <v>0</v>
      </c>
      <c r="H93" s="175">
        <f t="shared" si="24"/>
        <v>0</v>
      </c>
      <c r="I93" s="175">
        <f t="shared" si="25"/>
        <v>0</v>
      </c>
      <c r="J93" s="186">
        <f t="shared" si="26"/>
        <v>0</v>
      </c>
      <c r="K93" s="44">
        <f t="shared" si="27"/>
        <v>0</v>
      </c>
      <c r="L93" s="46"/>
      <c r="M93" s="22"/>
      <c r="N93" s="22"/>
      <c r="O93" s="46"/>
      <c r="P93" s="48">
        <f t="shared" si="28"/>
        <v>0</v>
      </c>
      <c r="Q93" s="175">
        <f t="shared" si="29"/>
        <v>0</v>
      </c>
      <c r="R93" s="175">
        <f t="shared" si="30"/>
        <v>0</v>
      </c>
      <c r="S93" s="186">
        <f t="shared" si="31"/>
        <v>0</v>
      </c>
      <c r="T93" s="44">
        <f t="shared" si="31"/>
        <v>0</v>
      </c>
      <c r="U93" s="46"/>
      <c r="V93" s="22"/>
      <c r="W93" s="22"/>
      <c r="X93" s="46"/>
      <c r="Y93" s="48">
        <f t="shared" si="32"/>
        <v>0</v>
      </c>
      <c r="Z93" s="175">
        <f t="shared" si="33"/>
        <v>0</v>
      </c>
      <c r="AA93" s="175">
        <f t="shared" si="34"/>
        <v>0</v>
      </c>
      <c r="AB93" s="186">
        <f t="shared" si="35"/>
        <v>0</v>
      </c>
      <c r="AC93" s="44">
        <f t="shared" si="35"/>
        <v>0</v>
      </c>
      <c r="AD93" s="46"/>
      <c r="AE93" s="22"/>
      <c r="AF93" s="22"/>
      <c r="AG93" s="46"/>
      <c r="AH93" s="48">
        <f t="shared" si="36"/>
        <v>0</v>
      </c>
      <c r="AI93" s="175">
        <f t="shared" si="37"/>
        <v>0</v>
      </c>
      <c r="AJ93" s="175">
        <f t="shared" si="38"/>
        <v>0</v>
      </c>
      <c r="AK93" s="186">
        <f t="shared" si="39"/>
        <v>0</v>
      </c>
      <c r="AL93" s="44">
        <f t="shared" si="39"/>
        <v>0</v>
      </c>
      <c r="AM93" s="46"/>
      <c r="AN93" s="22"/>
      <c r="AO93" s="22"/>
      <c r="AP93" s="46"/>
      <c r="AQ93" s="48">
        <f t="shared" si="40"/>
        <v>0</v>
      </c>
      <c r="AR93" s="175">
        <f t="shared" si="41"/>
        <v>0</v>
      </c>
      <c r="AS93" s="175">
        <f t="shared" si="42"/>
        <v>0</v>
      </c>
      <c r="AT93" s="186">
        <f t="shared" si="43"/>
        <v>0</v>
      </c>
      <c r="AU93" s="44">
        <f t="shared" si="43"/>
        <v>0</v>
      </c>
    </row>
    <row r="94" spans="1:47">
      <c r="A94" s="31">
        <f t="shared" si="44"/>
        <v>79</v>
      </c>
      <c r="B94" s="55">
        <f>Metadata!C102</f>
        <v>8.5353028014871254E-2</v>
      </c>
      <c r="C94" s="29"/>
      <c r="D94" s="22"/>
      <c r="E94" s="22"/>
      <c r="F94" s="46"/>
      <c r="G94" s="48">
        <f t="shared" si="23"/>
        <v>0</v>
      </c>
      <c r="H94" s="175">
        <f t="shared" si="24"/>
        <v>0</v>
      </c>
      <c r="I94" s="175">
        <f t="shared" si="25"/>
        <v>0</v>
      </c>
      <c r="J94" s="186">
        <f t="shared" si="26"/>
        <v>0</v>
      </c>
      <c r="K94" s="44">
        <f t="shared" si="27"/>
        <v>0</v>
      </c>
      <c r="L94" s="46"/>
      <c r="M94" s="22"/>
      <c r="N94" s="22"/>
      <c r="O94" s="46"/>
      <c r="P94" s="48">
        <f t="shared" si="28"/>
        <v>0</v>
      </c>
      <c r="Q94" s="175">
        <f t="shared" si="29"/>
        <v>0</v>
      </c>
      <c r="R94" s="175">
        <f t="shared" si="30"/>
        <v>0</v>
      </c>
      <c r="S94" s="186">
        <f t="shared" si="31"/>
        <v>0</v>
      </c>
      <c r="T94" s="44">
        <f t="shared" si="31"/>
        <v>0</v>
      </c>
      <c r="U94" s="46"/>
      <c r="V94" s="22"/>
      <c r="W94" s="22"/>
      <c r="X94" s="46"/>
      <c r="Y94" s="48">
        <f t="shared" si="32"/>
        <v>0</v>
      </c>
      <c r="Z94" s="175">
        <f t="shared" si="33"/>
        <v>0</v>
      </c>
      <c r="AA94" s="175">
        <f t="shared" si="34"/>
        <v>0</v>
      </c>
      <c r="AB94" s="186">
        <f t="shared" si="35"/>
        <v>0</v>
      </c>
      <c r="AC94" s="44">
        <f t="shared" si="35"/>
        <v>0</v>
      </c>
      <c r="AD94" s="46"/>
      <c r="AE94" s="22"/>
      <c r="AF94" s="22"/>
      <c r="AG94" s="46"/>
      <c r="AH94" s="48">
        <f t="shared" si="36"/>
        <v>0</v>
      </c>
      <c r="AI94" s="175">
        <f t="shared" si="37"/>
        <v>0</v>
      </c>
      <c r="AJ94" s="175">
        <f t="shared" si="38"/>
        <v>0</v>
      </c>
      <c r="AK94" s="186">
        <f t="shared" si="39"/>
        <v>0</v>
      </c>
      <c r="AL94" s="44">
        <f t="shared" si="39"/>
        <v>0</v>
      </c>
      <c r="AM94" s="46"/>
      <c r="AN94" s="22"/>
      <c r="AO94" s="22"/>
      <c r="AP94" s="46"/>
      <c r="AQ94" s="48">
        <f t="shared" si="40"/>
        <v>0</v>
      </c>
      <c r="AR94" s="175">
        <f t="shared" si="41"/>
        <v>0</v>
      </c>
      <c r="AS94" s="175">
        <f t="shared" si="42"/>
        <v>0</v>
      </c>
      <c r="AT94" s="186">
        <f t="shared" si="43"/>
        <v>0</v>
      </c>
      <c r="AU94" s="44">
        <f t="shared" si="43"/>
        <v>0</v>
      </c>
    </row>
    <row r="95" spans="1:47">
      <c r="A95" s="31">
        <f t="shared" si="44"/>
        <v>80</v>
      </c>
      <c r="B95" s="55">
        <f>Metadata!C103</f>
        <v>8.3271246843776847E-2</v>
      </c>
      <c r="C95" s="29"/>
      <c r="D95" s="22"/>
      <c r="E95" s="22"/>
      <c r="F95" s="46"/>
      <c r="G95" s="48">
        <f t="shared" si="23"/>
        <v>0</v>
      </c>
      <c r="H95" s="175">
        <f t="shared" si="24"/>
        <v>0</v>
      </c>
      <c r="I95" s="175">
        <f t="shared" si="25"/>
        <v>0</v>
      </c>
      <c r="J95" s="186">
        <f t="shared" si="26"/>
        <v>0</v>
      </c>
      <c r="K95" s="44">
        <f t="shared" si="27"/>
        <v>0</v>
      </c>
      <c r="L95" s="46"/>
      <c r="M95" s="22"/>
      <c r="N95" s="22"/>
      <c r="O95" s="46"/>
      <c r="P95" s="48">
        <f t="shared" si="28"/>
        <v>0</v>
      </c>
      <c r="Q95" s="175">
        <f t="shared" si="29"/>
        <v>0</v>
      </c>
      <c r="R95" s="175">
        <f t="shared" si="30"/>
        <v>0</v>
      </c>
      <c r="S95" s="186">
        <f t="shared" si="31"/>
        <v>0</v>
      </c>
      <c r="T95" s="44">
        <f t="shared" si="31"/>
        <v>0</v>
      </c>
      <c r="U95" s="46"/>
      <c r="V95" s="22"/>
      <c r="W95" s="22"/>
      <c r="X95" s="46"/>
      <c r="Y95" s="48">
        <f t="shared" si="32"/>
        <v>0</v>
      </c>
      <c r="Z95" s="175">
        <f t="shared" si="33"/>
        <v>0</v>
      </c>
      <c r="AA95" s="175">
        <f t="shared" si="34"/>
        <v>0</v>
      </c>
      <c r="AB95" s="186">
        <f t="shared" si="35"/>
        <v>0</v>
      </c>
      <c r="AC95" s="44">
        <f t="shared" si="35"/>
        <v>0</v>
      </c>
      <c r="AD95" s="46"/>
      <c r="AE95" s="22"/>
      <c r="AF95" s="22"/>
      <c r="AG95" s="46"/>
      <c r="AH95" s="48">
        <f t="shared" si="36"/>
        <v>0</v>
      </c>
      <c r="AI95" s="175">
        <f t="shared" si="37"/>
        <v>0</v>
      </c>
      <c r="AJ95" s="175">
        <f t="shared" si="38"/>
        <v>0</v>
      </c>
      <c r="AK95" s="186">
        <f t="shared" si="39"/>
        <v>0</v>
      </c>
      <c r="AL95" s="44">
        <f t="shared" si="39"/>
        <v>0</v>
      </c>
      <c r="AM95" s="46"/>
      <c r="AN95" s="22"/>
      <c r="AO95" s="22"/>
      <c r="AP95" s="46"/>
      <c r="AQ95" s="48">
        <f t="shared" si="40"/>
        <v>0</v>
      </c>
      <c r="AR95" s="175">
        <f t="shared" si="41"/>
        <v>0</v>
      </c>
      <c r="AS95" s="175">
        <f t="shared" si="42"/>
        <v>0</v>
      </c>
      <c r="AT95" s="186">
        <f t="shared" si="43"/>
        <v>0</v>
      </c>
      <c r="AU95" s="44">
        <f t="shared" si="43"/>
        <v>0</v>
      </c>
    </row>
    <row r="96" spans="1:47">
      <c r="A96" s="31">
        <f t="shared" si="44"/>
        <v>81</v>
      </c>
      <c r="B96" s="55">
        <f>Metadata!C104</f>
        <v>8.1240240823196933E-2</v>
      </c>
      <c r="C96" s="29"/>
      <c r="D96" s="22"/>
      <c r="E96" s="22"/>
      <c r="F96" s="46"/>
      <c r="G96" s="48">
        <f t="shared" si="23"/>
        <v>0</v>
      </c>
      <c r="H96" s="175">
        <f t="shared" si="24"/>
        <v>0</v>
      </c>
      <c r="I96" s="175">
        <f t="shared" si="25"/>
        <v>0</v>
      </c>
      <c r="J96" s="186">
        <f t="shared" si="26"/>
        <v>0</v>
      </c>
      <c r="K96" s="44">
        <f t="shared" si="27"/>
        <v>0</v>
      </c>
      <c r="L96" s="46"/>
      <c r="M96" s="22"/>
      <c r="N96" s="22"/>
      <c r="O96" s="46"/>
      <c r="P96" s="48">
        <f t="shared" si="28"/>
        <v>0</v>
      </c>
      <c r="Q96" s="175">
        <f t="shared" si="29"/>
        <v>0</v>
      </c>
      <c r="R96" s="175">
        <f t="shared" si="30"/>
        <v>0</v>
      </c>
      <c r="S96" s="186">
        <f t="shared" si="31"/>
        <v>0</v>
      </c>
      <c r="T96" s="44">
        <f t="shared" si="31"/>
        <v>0</v>
      </c>
      <c r="U96" s="46"/>
      <c r="V96" s="22"/>
      <c r="W96" s="22"/>
      <c r="X96" s="46"/>
      <c r="Y96" s="48">
        <f t="shared" si="32"/>
        <v>0</v>
      </c>
      <c r="Z96" s="175">
        <f t="shared" si="33"/>
        <v>0</v>
      </c>
      <c r="AA96" s="175">
        <f t="shared" si="34"/>
        <v>0</v>
      </c>
      <c r="AB96" s="186">
        <f t="shared" si="35"/>
        <v>0</v>
      </c>
      <c r="AC96" s="44">
        <f t="shared" si="35"/>
        <v>0</v>
      </c>
      <c r="AD96" s="46"/>
      <c r="AE96" s="22"/>
      <c r="AF96" s="22"/>
      <c r="AG96" s="46"/>
      <c r="AH96" s="48">
        <f t="shared" si="36"/>
        <v>0</v>
      </c>
      <c r="AI96" s="175">
        <f t="shared" si="37"/>
        <v>0</v>
      </c>
      <c r="AJ96" s="175">
        <f t="shared" si="38"/>
        <v>0</v>
      </c>
      <c r="AK96" s="186">
        <f t="shared" si="39"/>
        <v>0</v>
      </c>
      <c r="AL96" s="44">
        <f t="shared" si="39"/>
        <v>0</v>
      </c>
      <c r="AM96" s="46"/>
      <c r="AN96" s="22"/>
      <c r="AO96" s="22"/>
      <c r="AP96" s="46"/>
      <c r="AQ96" s="48">
        <f t="shared" si="40"/>
        <v>0</v>
      </c>
      <c r="AR96" s="175">
        <f t="shared" si="41"/>
        <v>0</v>
      </c>
      <c r="AS96" s="175">
        <f t="shared" si="42"/>
        <v>0</v>
      </c>
      <c r="AT96" s="186">
        <f t="shared" si="43"/>
        <v>0</v>
      </c>
      <c r="AU96" s="44">
        <f t="shared" si="43"/>
        <v>0</v>
      </c>
    </row>
    <row r="97" spans="1:47">
      <c r="A97" s="31">
        <f t="shared" si="44"/>
        <v>82</v>
      </c>
      <c r="B97" s="55">
        <f>Metadata!C105</f>
        <v>7.9258771534826286E-2</v>
      </c>
      <c r="C97" s="29"/>
      <c r="D97" s="22"/>
      <c r="E97" s="22"/>
      <c r="F97" s="46"/>
      <c r="G97" s="48">
        <f t="shared" si="23"/>
        <v>0</v>
      </c>
      <c r="H97" s="175">
        <f t="shared" si="24"/>
        <v>0</v>
      </c>
      <c r="I97" s="175">
        <f t="shared" si="25"/>
        <v>0</v>
      </c>
      <c r="J97" s="186">
        <f t="shared" si="26"/>
        <v>0</v>
      </c>
      <c r="K97" s="44">
        <f t="shared" si="27"/>
        <v>0</v>
      </c>
      <c r="L97" s="46"/>
      <c r="M97" s="22"/>
      <c r="N97" s="22"/>
      <c r="O97" s="46"/>
      <c r="P97" s="48">
        <f t="shared" si="28"/>
        <v>0</v>
      </c>
      <c r="Q97" s="175">
        <f t="shared" si="29"/>
        <v>0</v>
      </c>
      <c r="R97" s="175">
        <f t="shared" si="30"/>
        <v>0</v>
      </c>
      <c r="S97" s="186">
        <f t="shared" si="31"/>
        <v>0</v>
      </c>
      <c r="T97" s="44">
        <f t="shared" si="31"/>
        <v>0</v>
      </c>
      <c r="U97" s="46"/>
      <c r="V97" s="22"/>
      <c r="W97" s="22"/>
      <c r="X97" s="46"/>
      <c r="Y97" s="48">
        <f t="shared" si="32"/>
        <v>0</v>
      </c>
      <c r="Z97" s="175">
        <f t="shared" si="33"/>
        <v>0</v>
      </c>
      <c r="AA97" s="175">
        <f t="shared" si="34"/>
        <v>0</v>
      </c>
      <c r="AB97" s="186">
        <f t="shared" si="35"/>
        <v>0</v>
      </c>
      <c r="AC97" s="44">
        <f t="shared" si="35"/>
        <v>0</v>
      </c>
      <c r="AD97" s="46"/>
      <c r="AE97" s="22"/>
      <c r="AF97" s="22"/>
      <c r="AG97" s="46"/>
      <c r="AH97" s="48">
        <f t="shared" si="36"/>
        <v>0</v>
      </c>
      <c r="AI97" s="175">
        <f t="shared" si="37"/>
        <v>0</v>
      </c>
      <c r="AJ97" s="175">
        <f t="shared" si="38"/>
        <v>0</v>
      </c>
      <c r="AK97" s="186">
        <f t="shared" si="39"/>
        <v>0</v>
      </c>
      <c r="AL97" s="44">
        <f t="shared" si="39"/>
        <v>0</v>
      </c>
      <c r="AM97" s="46"/>
      <c r="AN97" s="22"/>
      <c r="AO97" s="22"/>
      <c r="AP97" s="46"/>
      <c r="AQ97" s="48">
        <f t="shared" si="40"/>
        <v>0</v>
      </c>
      <c r="AR97" s="175">
        <f t="shared" si="41"/>
        <v>0</v>
      </c>
      <c r="AS97" s="175">
        <f t="shared" si="42"/>
        <v>0</v>
      </c>
      <c r="AT97" s="186">
        <f t="shared" si="43"/>
        <v>0</v>
      </c>
      <c r="AU97" s="44">
        <f t="shared" si="43"/>
        <v>0</v>
      </c>
    </row>
    <row r="98" spans="1:47">
      <c r="A98" s="31">
        <f t="shared" si="44"/>
        <v>83</v>
      </c>
      <c r="B98" s="55">
        <f>Metadata!C106</f>
        <v>7.7325630765684189E-2</v>
      </c>
      <c r="C98" s="29"/>
      <c r="D98" s="22"/>
      <c r="E98" s="22"/>
      <c r="F98" s="46"/>
      <c r="G98" s="48">
        <f t="shared" si="23"/>
        <v>0</v>
      </c>
      <c r="H98" s="175">
        <f t="shared" si="24"/>
        <v>0</v>
      </c>
      <c r="I98" s="175">
        <f t="shared" si="25"/>
        <v>0</v>
      </c>
      <c r="J98" s="186">
        <f t="shared" si="26"/>
        <v>0</v>
      </c>
      <c r="K98" s="44">
        <f t="shared" si="27"/>
        <v>0</v>
      </c>
      <c r="L98" s="46"/>
      <c r="M98" s="22"/>
      <c r="N98" s="22"/>
      <c r="O98" s="46"/>
      <c r="P98" s="48">
        <f t="shared" si="28"/>
        <v>0</v>
      </c>
      <c r="Q98" s="175">
        <f t="shared" si="29"/>
        <v>0</v>
      </c>
      <c r="R98" s="175">
        <f t="shared" si="30"/>
        <v>0</v>
      </c>
      <c r="S98" s="186">
        <f t="shared" si="31"/>
        <v>0</v>
      </c>
      <c r="T98" s="44">
        <f t="shared" si="31"/>
        <v>0</v>
      </c>
      <c r="U98" s="46"/>
      <c r="V98" s="22"/>
      <c r="W98" s="22"/>
      <c r="X98" s="46"/>
      <c r="Y98" s="48">
        <f t="shared" si="32"/>
        <v>0</v>
      </c>
      <c r="Z98" s="175">
        <f t="shared" si="33"/>
        <v>0</v>
      </c>
      <c r="AA98" s="175">
        <f t="shared" si="34"/>
        <v>0</v>
      </c>
      <c r="AB98" s="186">
        <f t="shared" si="35"/>
        <v>0</v>
      </c>
      <c r="AC98" s="44">
        <f t="shared" si="35"/>
        <v>0</v>
      </c>
      <c r="AD98" s="46"/>
      <c r="AE98" s="22"/>
      <c r="AF98" s="22"/>
      <c r="AG98" s="46"/>
      <c r="AH98" s="48">
        <f t="shared" si="36"/>
        <v>0</v>
      </c>
      <c r="AI98" s="175">
        <f t="shared" si="37"/>
        <v>0</v>
      </c>
      <c r="AJ98" s="175">
        <f t="shared" si="38"/>
        <v>0</v>
      </c>
      <c r="AK98" s="186">
        <f t="shared" si="39"/>
        <v>0</v>
      </c>
      <c r="AL98" s="44">
        <f t="shared" si="39"/>
        <v>0</v>
      </c>
      <c r="AM98" s="46"/>
      <c r="AN98" s="22"/>
      <c r="AO98" s="22"/>
      <c r="AP98" s="46"/>
      <c r="AQ98" s="48">
        <f t="shared" si="40"/>
        <v>0</v>
      </c>
      <c r="AR98" s="175">
        <f t="shared" si="41"/>
        <v>0</v>
      </c>
      <c r="AS98" s="175">
        <f t="shared" si="42"/>
        <v>0</v>
      </c>
      <c r="AT98" s="186">
        <f t="shared" si="43"/>
        <v>0</v>
      </c>
      <c r="AU98" s="44">
        <f t="shared" si="43"/>
        <v>0</v>
      </c>
    </row>
    <row r="99" spans="1:47">
      <c r="A99" s="31">
        <f t="shared" si="44"/>
        <v>84</v>
      </c>
      <c r="B99" s="55">
        <f>Metadata!C107</f>
        <v>7.5439639771399211E-2</v>
      </c>
      <c r="C99" s="29"/>
      <c r="D99" s="22"/>
      <c r="E99" s="22"/>
      <c r="F99" s="46"/>
      <c r="G99" s="48">
        <f t="shared" si="23"/>
        <v>0</v>
      </c>
      <c r="H99" s="175">
        <f t="shared" si="24"/>
        <v>0</v>
      </c>
      <c r="I99" s="175">
        <f t="shared" si="25"/>
        <v>0</v>
      </c>
      <c r="J99" s="186">
        <f t="shared" si="26"/>
        <v>0</v>
      </c>
      <c r="K99" s="44">
        <f t="shared" si="27"/>
        <v>0</v>
      </c>
      <c r="L99" s="46"/>
      <c r="M99" s="22"/>
      <c r="N99" s="22"/>
      <c r="O99" s="46"/>
      <c r="P99" s="48">
        <f t="shared" si="28"/>
        <v>0</v>
      </c>
      <c r="Q99" s="175">
        <f t="shared" si="29"/>
        <v>0</v>
      </c>
      <c r="R99" s="175">
        <f t="shared" si="30"/>
        <v>0</v>
      </c>
      <c r="S99" s="186">
        <f t="shared" si="31"/>
        <v>0</v>
      </c>
      <c r="T99" s="44">
        <f t="shared" si="31"/>
        <v>0</v>
      </c>
      <c r="U99" s="46"/>
      <c r="V99" s="22"/>
      <c r="W99" s="22"/>
      <c r="X99" s="46"/>
      <c r="Y99" s="48">
        <f t="shared" si="32"/>
        <v>0</v>
      </c>
      <c r="Z99" s="175">
        <f t="shared" si="33"/>
        <v>0</v>
      </c>
      <c r="AA99" s="175">
        <f t="shared" si="34"/>
        <v>0</v>
      </c>
      <c r="AB99" s="186">
        <f t="shared" si="35"/>
        <v>0</v>
      </c>
      <c r="AC99" s="44">
        <f t="shared" si="35"/>
        <v>0</v>
      </c>
      <c r="AD99" s="46"/>
      <c r="AE99" s="22"/>
      <c r="AF99" s="22"/>
      <c r="AG99" s="46"/>
      <c r="AH99" s="48">
        <f t="shared" si="36"/>
        <v>0</v>
      </c>
      <c r="AI99" s="175">
        <f t="shared" si="37"/>
        <v>0</v>
      </c>
      <c r="AJ99" s="175">
        <f t="shared" si="38"/>
        <v>0</v>
      </c>
      <c r="AK99" s="186">
        <f t="shared" si="39"/>
        <v>0</v>
      </c>
      <c r="AL99" s="44">
        <f t="shared" si="39"/>
        <v>0</v>
      </c>
      <c r="AM99" s="46"/>
      <c r="AN99" s="22"/>
      <c r="AO99" s="22"/>
      <c r="AP99" s="46"/>
      <c r="AQ99" s="48">
        <f t="shared" si="40"/>
        <v>0</v>
      </c>
      <c r="AR99" s="175">
        <f t="shared" si="41"/>
        <v>0</v>
      </c>
      <c r="AS99" s="175">
        <f t="shared" si="42"/>
        <v>0</v>
      </c>
      <c r="AT99" s="186">
        <f t="shared" si="43"/>
        <v>0</v>
      </c>
      <c r="AU99" s="44">
        <f t="shared" si="43"/>
        <v>0</v>
      </c>
    </row>
    <row r="100" spans="1:47">
      <c r="A100" s="31">
        <f t="shared" si="44"/>
        <v>85</v>
      </c>
      <c r="B100" s="55">
        <f>Metadata!C108</f>
        <v>7.3599648557462649E-2</v>
      </c>
      <c r="C100" s="29"/>
      <c r="D100" s="22"/>
      <c r="E100" s="22"/>
      <c r="F100" s="46"/>
      <c r="G100" s="48">
        <f t="shared" si="23"/>
        <v>0</v>
      </c>
      <c r="H100" s="175">
        <f t="shared" si="24"/>
        <v>0</v>
      </c>
      <c r="I100" s="175">
        <f t="shared" si="25"/>
        <v>0</v>
      </c>
      <c r="J100" s="186">
        <f t="shared" si="26"/>
        <v>0</v>
      </c>
      <c r="K100" s="44">
        <f t="shared" si="27"/>
        <v>0</v>
      </c>
      <c r="L100" s="46"/>
      <c r="M100" s="22"/>
      <c r="N100" s="22"/>
      <c r="O100" s="46"/>
      <c r="P100" s="48">
        <f t="shared" si="28"/>
        <v>0</v>
      </c>
      <c r="Q100" s="175">
        <f t="shared" si="29"/>
        <v>0</v>
      </c>
      <c r="R100" s="175">
        <f t="shared" si="30"/>
        <v>0</v>
      </c>
      <c r="S100" s="186">
        <f t="shared" si="31"/>
        <v>0</v>
      </c>
      <c r="T100" s="44">
        <f t="shared" si="31"/>
        <v>0</v>
      </c>
      <c r="U100" s="46"/>
      <c r="V100" s="22"/>
      <c r="W100" s="22"/>
      <c r="X100" s="46"/>
      <c r="Y100" s="48">
        <f t="shared" si="32"/>
        <v>0</v>
      </c>
      <c r="Z100" s="175">
        <f t="shared" si="33"/>
        <v>0</v>
      </c>
      <c r="AA100" s="175">
        <f t="shared" si="34"/>
        <v>0</v>
      </c>
      <c r="AB100" s="186">
        <f t="shared" si="35"/>
        <v>0</v>
      </c>
      <c r="AC100" s="44">
        <f t="shared" si="35"/>
        <v>0</v>
      </c>
      <c r="AD100" s="46"/>
      <c r="AE100" s="22"/>
      <c r="AF100" s="22"/>
      <c r="AG100" s="46"/>
      <c r="AH100" s="48">
        <f t="shared" si="36"/>
        <v>0</v>
      </c>
      <c r="AI100" s="175">
        <f t="shared" si="37"/>
        <v>0</v>
      </c>
      <c r="AJ100" s="175">
        <f t="shared" si="38"/>
        <v>0</v>
      </c>
      <c r="AK100" s="186">
        <f t="shared" si="39"/>
        <v>0</v>
      </c>
      <c r="AL100" s="44">
        <f t="shared" si="39"/>
        <v>0</v>
      </c>
      <c r="AM100" s="46"/>
      <c r="AN100" s="22"/>
      <c r="AO100" s="22"/>
      <c r="AP100" s="46"/>
      <c r="AQ100" s="48">
        <f t="shared" si="40"/>
        <v>0</v>
      </c>
      <c r="AR100" s="175">
        <f t="shared" si="41"/>
        <v>0</v>
      </c>
      <c r="AS100" s="175">
        <f t="shared" si="42"/>
        <v>0</v>
      </c>
      <c r="AT100" s="186">
        <f t="shared" si="43"/>
        <v>0</v>
      </c>
      <c r="AU100" s="44">
        <f t="shared" si="43"/>
        <v>0</v>
      </c>
    </row>
    <row r="101" spans="1:47">
      <c r="A101" s="31">
        <f t="shared" si="44"/>
        <v>86</v>
      </c>
      <c r="B101" s="55">
        <f>Metadata!C109</f>
        <v>7.1804535178012344E-2</v>
      </c>
      <c r="C101" s="29"/>
      <c r="D101" s="22"/>
      <c r="E101" s="22"/>
      <c r="F101" s="46"/>
      <c r="G101" s="48">
        <f t="shared" si="23"/>
        <v>0</v>
      </c>
      <c r="H101" s="175">
        <f t="shared" si="24"/>
        <v>0</v>
      </c>
      <c r="I101" s="175">
        <f t="shared" si="25"/>
        <v>0</v>
      </c>
      <c r="J101" s="186">
        <f t="shared" si="26"/>
        <v>0</v>
      </c>
      <c r="K101" s="44">
        <f t="shared" si="27"/>
        <v>0</v>
      </c>
      <c r="L101" s="46"/>
      <c r="M101" s="22"/>
      <c r="N101" s="22"/>
      <c r="O101" s="46"/>
      <c r="P101" s="48">
        <f t="shared" si="28"/>
        <v>0</v>
      </c>
      <c r="Q101" s="175">
        <f t="shared" si="29"/>
        <v>0</v>
      </c>
      <c r="R101" s="175">
        <f t="shared" si="30"/>
        <v>0</v>
      </c>
      <c r="S101" s="186">
        <f t="shared" si="31"/>
        <v>0</v>
      </c>
      <c r="T101" s="44">
        <f t="shared" si="31"/>
        <v>0</v>
      </c>
      <c r="U101" s="46"/>
      <c r="V101" s="22"/>
      <c r="W101" s="22"/>
      <c r="X101" s="46"/>
      <c r="Y101" s="48">
        <f t="shared" si="32"/>
        <v>0</v>
      </c>
      <c r="Z101" s="175">
        <f t="shared" si="33"/>
        <v>0</v>
      </c>
      <c r="AA101" s="175">
        <f t="shared" si="34"/>
        <v>0</v>
      </c>
      <c r="AB101" s="186">
        <f t="shared" si="35"/>
        <v>0</v>
      </c>
      <c r="AC101" s="44">
        <f t="shared" si="35"/>
        <v>0</v>
      </c>
      <c r="AD101" s="46"/>
      <c r="AE101" s="22"/>
      <c r="AF101" s="22"/>
      <c r="AG101" s="46"/>
      <c r="AH101" s="48">
        <f t="shared" si="36"/>
        <v>0</v>
      </c>
      <c r="AI101" s="175">
        <f t="shared" si="37"/>
        <v>0</v>
      </c>
      <c r="AJ101" s="175">
        <f t="shared" si="38"/>
        <v>0</v>
      </c>
      <c r="AK101" s="186">
        <f t="shared" si="39"/>
        <v>0</v>
      </c>
      <c r="AL101" s="44">
        <f t="shared" si="39"/>
        <v>0</v>
      </c>
      <c r="AM101" s="46"/>
      <c r="AN101" s="22"/>
      <c r="AO101" s="22"/>
      <c r="AP101" s="46"/>
      <c r="AQ101" s="48">
        <f t="shared" si="40"/>
        <v>0</v>
      </c>
      <c r="AR101" s="175">
        <f t="shared" si="41"/>
        <v>0</v>
      </c>
      <c r="AS101" s="175">
        <f t="shared" si="42"/>
        <v>0</v>
      </c>
      <c r="AT101" s="186">
        <f t="shared" si="43"/>
        <v>0</v>
      </c>
      <c r="AU101" s="44">
        <f t="shared" si="43"/>
        <v>0</v>
      </c>
    </row>
    <row r="102" spans="1:47">
      <c r="A102" s="31">
        <f t="shared" si="44"/>
        <v>87</v>
      </c>
      <c r="B102" s="55">
        <f>Metadata!C110</f>
        <v>7.0053205051719372E-2</v>
      </c>
      <c r="C102" s="29"/>
      <c r="D102" s="22"/>
      <c r="E102" s="22"/>
      <c r="F102" s="46"/>
      <c r="G102" s="48">
        <f t="shared" si="23"/>
        <v>0</v>
      </c>
      <c r="H102" s="175">
        <f t="shared" si="24"/>
        <v>0</v>
      </c>
      <c r="I102" s="175">
        <f t="shared" si="25"/>
        <v>0</v>
      </c>
      <c r="J102" s="186">
        <f t="shared" si="26"/>
        <v>0</v>
      </c>
      <c r="K102" s="44">
        <f t="shared" si="27"/>
        <v>0</v>
      </c>
      <c r="L102" s="46"/>
      <c r="M102" s="22"/>
      <c r="N102" s="22"/>
      <c r="O102" s="46"/>
      <c r="P102" s="48">
        <f t="shared" si="28"/>
        <v>0</v>
      </c>
      <c r="Q102" s="175">
        <f t="shared" si="29"/>
        <v>0</v>
      </c>
      <c r="R102" s="175">
        <f t="shared" si="30"/>
        <v>0</v>
      </c>
      <c r="S102" s="186">
        <f t="shared" si="31"/>
        <v>0</v>
      </c>
      <c r="T102" s="44">
        <f t="shared" si="31"/>
        <v>0</v>
      </c>
      <c r="U102" s="46"/>
      <c r="V102" s="22"/>
      <c r="W102" s="22"/>
      <c r="X102" s="46"/>
      <c r="Y102" s="48">
        <f t="shared" si="32"/>
        <v>0</v>
      </c>
      <c r="Z102" s="175">
        <f t="shared" si="33"/>
        <v>0</v>
      </c>
      <c r="AA102" s="175">
        <f t="shared" si="34"/>
        <v>0</v>
      </c>
      <c r="AB102" s="186">
        <f t="shared" si="35"/>
        <v>0</v>
      </c>
      <c r="AC102" s="44">
        <f t="shared" si="35"/>
        <v>0</v>
      </c>
      <c r="AD102" s="46"/>
      <c r="AE102" s="22"/>
      <c r="AF102" s="22"/>
      <c r="AG102" s="46"/>
      <c r="AH102" s="48">
        <f t="shared" si="36"/>
        <v>0</v>
      </c>
      <c r="AI102" s="175">
        <f t="shared" si="37"/>
        <v>0</v>
      </c>
      <c r="AJ102" s="175">
        <f t="shared" si="38"/>
        <v>0</v>
      </c>
      <c r="AK102" s="186">
        <f t="shared" si="39"/>
        <v>0</v>
      </c>
      <c r="AL102" s="44">
        <f t="shared" si="39"/>
        <v>0</v>
      </c>
      <c r="AM102" s="46"/>
      <c r="AN102" s="22"/>
      <c r="AO102" s="22"/>
      <c r="AP102" s="46"/>
      <c r="AQ102" s="48">
        <f t="shared" si="40"/>
        <v>0</v>
      </c>
      <c r="AR102" s="175">
        <f t="shared" si="41"/>
        <v>0</v>
      </c>
      <c r="AS102" s="175">
        <f t="shared" si="42"/>
        <v>0</v>
      </c>
      <c r="AT102" s="186">
        <f t="shared" si="43"/>
        <v>0</v>
      </c>
      <c r="AU102" s="44">
        <f t="shared" si="43"/>
        <v>0</v>
      </c>
    </row>
    <row r="103" spans="1:47">
      <c r="A103" s="31">
        <f t="shared" si="44"/>
        <v>88</v>
      </c>
      <c r="B103" s="55">
        <f>Metadata!C111</f>
        <v>6.8344590294360366E-2</v>
      </c>
      <c r="C103" s="29"/>
      <c r="D103" s="22"/>
      <c r="E103" s="22"/>
      <c r="F103" s="46"/>
      <c r="G103" s="48">
        <f t="shared" si="23"/>
        <v>0</v>
      </c>
      <c r="H103" s="175">
        <f t="shared" si="24"/>
        <v>0</v>
      </c>
      <c r="I103" s="175">
        <f t="shared" si="25"/>
        <v>0</v>
      </c>
      <c r="J103" s="186">
        <f t="shared" si="26"/>
        <v>0</v>
      </c>
      <c r="K103" s="44">
        <f t="shared" si="27"/>
        <v>0</v>
      </c>
      <c r="L103" s="46"/>
      <c r="M103" s="22"/>
      <c r="N103" s="22"/>
      <c r="O103" s="46"/>
      <c r="P103" s="48">
        <f t="shared" si="28"/>
        <v>0</v>
      </c>
      <c r="Q103" s="175">
        <f t="shared" si="29"/>
        <v>0</v>
      </c>
      <c r="R103" s="175">
        <f t="shared" si="30"/>
        <v>0</v>
      </c>
      <c r="S103" s="186">
        <f t="shared" si="31"/>
        <v>0</v>
      </c>
      <c r="T103" s="44">
        <f t="shared" si="31"/>
        <v>0</v>
      </c>
      <c r="U103" s="46"/>
      <c r="V103" s="22"/>
      <c r="W103" s="22"/>
      <c r="X103" s="46"/>
      <c r="Y103" s="48">
        <f t="shared" si="32"/>
        <v>0</v>
      </c>
      <c r="Z103" s="175">
        <f t="shared" si="33"/>
        <v>0</v>
      </c>
      <c r="AA103" s="175">
        <f t="shared" si="34"/>
        <v>0</v>
      </c>
      <c r="AB103" s="186">
        <f t="shared" si="35"/>
        <v>0</v>
      </c>
      <c r="AC103" s="44">
        <f t="shared" si="35"/>
        <v>0</v>
      </c>
      <c r="AD103" s="46"/>
      <c r="AE103" s="22"/>
      <c r="AF103" s="22"/>
      <c r="AG103" s="46"/>
      <c r="AH103" s="48">
        <f t="shared" si="36"/>
        <v>0</v>
      </c>
      <c r="AI103" s="175">
        <f t="shared" si="37"/>
        <v>0</v>
      </c>
      <c r="AJ103" s="175">
        <f t="shared" si="38"/>
        <v>0</v>
      </c>
      <c r="AK103" s="186">
        <f t="shared" si="39"/>
        <v>0</v>
      </c>
      <c r="AL103" s="44">
        <f t="shared" si="39"/>
        <v>0</v>
      </c>
      <c r="AM103" s="46"/>
      <c r="AN103" s="22"/>
      <c r="AO103" s="22"/>
      <c r="AP103" s="46"/>
      <c r="AQ103" s="48">
        <f t="shared" si="40"/>
        <v>0</v>
      </c>
      <c r="AR103" s="175">
        <f t="shared" si="41"/>
        <v>0</v>
      </c>
      <c r="AS103" s="175">
        <f t="shared" si="42"/>
        <v>0</v>
      </c>
      <c r="AT103" s="186">
        <f t="shared" si="43"/>
        <v>0</v>
      </c>
      <c r="AU103" s="44">
        <f t="shared" si="43"/>
        <v>0</v>
      </c>
    </row>
    <row r="104" spans="1:47">
      <c r="A104" s="31">
        <f t="shared" si="44"/>
        <v>89</v>
      </c>
      <c r="B104" s="55">
        <f>Metadata!C112</f>
        <v>6.6677649067668654E-2</v>
      </c>
      <c r="C104" s="29"/>
      <c r="D104" s="22"/>
      <c r="E104" s="22"/>
      <c r="F104" s="46"/>
      <c r="G104" s="48">
        <f t="shared" si="23"/>
        <v>0</v>
      </c>
      <c r="H104" s="175">
        <f t="shared" si="24"/>
        <v>0</v>
      </c>
      <c r="I104" s="175">
        <f t="shared" si="25"/>
        <v>0</v>
      </c>
      <c r="J104" s="186">
        <f t="shared" si="26"/>
        <v>0</v>
      </c>
      <c r="K104" s="44">
        <f t="shared" si="27"/>
        <v>0</v>
      </c>
      <c r="L104" s="46"/>
      <c r="M104" s="22"/>
      <c r="N104" s="22"/>
      <c r="O104" s="46"/>
      <c r="P104" s="48">
        <f t="shared" si="28"/>
        <v>0</v>
      </c>
      <c r="Q104" s="175">
        <f t="shared" si="29"/>
        <v>0</v>
      </c>
      <c r="R104" s="175">
        <f t="shared" si="30"/>
        <v>0</v>
      </c>
      <c r="S104" s="186">
        <f t="shared" si="31"/>
        <v>0</v>
      </c>
      <c r="T104" s="44">
        <f t="shared" si="31"/>
        <v>0</v>
      </c>
      <c r="U104" s="46"/>
      <c r="V104" s="22"/>
      <c r="W104" s="22"/>
      <c r="X104" s="46"/>
      <c r="Y104" s="48">
        <f t="shared" si="32"/>
        <v>0</v>
      </c>
      <c r="Z104" s="175">
        <f t="shared" si="33"/>
        <v>0</v>
      </c>
      <c r="AA104" s="175">
        <f t="shared" si="34"/>
        <v>0</v>
      </c>
      <c r="AB104" s="186">
        <f t="shared" si="35"/>
        <v>0</v>
      </c>
      <c r="AC104" s="44">
        <f t="shared" si="35"/>
        <v>0</v>
      </c>
      <c r="AD104" s="46"/>
      <c r="AE104" s="22"/>
      <c r="AF104" s="22"/>
      <c r="AG104" s="46"/>
      <c r="AH104" s="48">
        <f t="shared" si="36"/>
        <v>0</v>
      </c>
      <c r="AI104" s="175">
        <f t="shared" si="37"/>
        <v>0</v>
      </c>
      <c r="AJ104" s="175">
        <f t="shared" si="38"/>
        <v>0</v>
      </c>
      <c r="AK104" s="186">
        <f t="shared" si="39"/>
        <v>0</v>
      </c>
      <c r="AL104" s="44">
        <f t="shared" si="39"/>
        <v>0</v>
      </c>
      <c r="AM104" s="46"/>
      <c r="AN104" s="22"/>
      <c r="AO104" s="22"/>
      <c r="AP104" s="46"/>
      <c r="AQ104" s="48">
        <f t="shared" si="40"/>
        <v>0</v>
      </c>
      <c r="AR104" s="175">
        <f t="shared" si="41"/>
        <v>0</v>
      </c>
      <c r="AS104" s="175">
        <f t="shared" si="42"/>
        <v>0</v>
      </c>
      <c r="AT104" s="186">
        <f t="shared" si="43"/>
        <v>0</v>
      </c>
      <c r="AU104" s="44">
        <f t="shared" si="43"/>
        <v>0</v>
      </c>
    </row>
    <row r="105" spans="1:47">
      <c r="A105" s="31">
        <f t="shared" si="44"/>
        <v>90</v>
      </c>
      <c r="B105" s="55">
        <f>Metadata!C113</f>
        <v>6.5051364944066992E-2</v>
      </c>
      <c r="C105" s="29"/>
      <c r="D105" s="22"/>
      <c r="E105" s="22"/>
      <c r="F105" s="46"/>
      <c r="G105" s="48">
        <f t="shared" si="23"/>
        <v>0</v>
      </c>
      <c r="H105" s="175">
        <f t="shared" si="24"/>
        <v>0</v>
      </c>
      <c r="I105" s="175">
        <f t="shared" si="25"/>
        <v>0</v>
      </c>
      <c r="J105" s="186">
        <f t="shared" si="26"/>
        <v>0</v>
      </c>
      <c r="K105" s="44">
        <f t="shared" si="27"/>
        <v>0</v>
      </c>
      <c r="L105" s="46"/>
      <c r="M105" s="22"/>
      <c r="N105" s="22"/>
      <c r="O105" s="46"/>
      <c r="P105" s="48">
        <f t="shared" si="28"/>
        <v>0</v>
      </c>
      <c r="Q105" s="175">
        <f t="shared" si="29"/>
        <v>0</v>
      </c>
      <c r="R105" s="175">
        <f t="shared" si="30"/>
        <v>0</v>
      </c>
      <c r="S105" s="186">
        <f t="shared" si="31"/>
        <v>0</v>
      </c>
      <c r="T105" s="44">
        <f t="shared" si="31"/>
        <v>0</v>
      </c>
      <c r="U105" s="46"/>
      <c r="V105" s="22"/>
      <c r="W105" s="22"/>
      <c r="X105" s="46"/>
      <c r="Y105" s="48">
        <f t="shared" si="32"/>
        <v>0</v>
      </c>
      <c r="Z105" s="175">
        <f t="shared" si="33"/>
        <v>0</v>
      </c>
      <c r="AA105" s="175">
        <f t="shared" si="34"/>
        <v>0</v>
      </c>
      <c r="AB105" s="186">
        <f t="shared" si="35"/>
        <v>0</v>
      </c>
      <c r="AC105" s="44">
        <f t="shared" si="35"/>
        <v>0</v>
      </c>
      <c r="AD105" s="46"/>
      <c r="AE105" s="22"/>
      <c r="AF105" s="22"/>
      <c r="AG105" s="46"/>
      <c r="AH105" s="48">
        <f t="shared" si="36"/>
        <v>0</v>
      </c>
      <c r="AI105" s="175">
        <f t="shared" si="37"/>
        <v>0</v>
      </c>
      <c r="AJ105" s="175">
        <f t="shared" si="38"/>
        <v>0</v>
      </c>
      <c r="AK105" s="186">
        <f t="shared" si="39"/>
        <v>0</v>
      </c>
      <c r="AL105" s="44">
        <f t="shared" si="39"/>
        <v>0</v>
      </c>
      <c r="AM105" s="46"/>
      <c r="AN105" s="22"/>
      <c r="AO105" s="22"/>
      <c r="AP105" s="46"/>
      <c r="AQ105" s="48">
        <f t="shared" si="40"/>
        <v>0</v>
      </c>
      <c r="AR105" s="175">
        <f t="shared" si="41"/>
        <v>0</v>
      </c>
      <c r="AS105" s="175">
        <f t="shared" si="42"/>
        <v>0</v>
      </c>
      <c r="AT105" s="186">
        <f t="shared" si="43"/>
        <v>0</v>
      </c>
      <c r="AU105" s="44">
        <f t="shared" si="43"/>
        <v>0</v>
      </c>
    </row>
    <row r="106" spans="1:47">
      <c r="A106" s="31">
        <f t="shared" si="44"/>
        <v>91</v>
      </c>
      <c r="B106" s="55">
        <f>Metadata!C114</f>
        <v>6.3464746286894635E-2</v>
      </c>
      <c r="C106" s="29"/>
      <c r="D106" s="22"/>
      <c r="E106" s="22"/>
      <c r="F106" s="46"/>
      <c r="G106" s="48">
        <f t="shared" si="23"/>
        <v>0</v>
      </c>
      <c r="H106" s="175">
        <f t="shared" si="24"/>
        <v>0</v>
      </c>
      <c r="I106" s="175">
        <f t="shared" si="25"/>
        <v>0</v>
      </c>
      <c r="J106" s="186">
        <f t="shared" si="26"/>
        <v>0</v>
      </c>
      <c r="K106" s="44">
        <f t="shared" si="27"/>
        <v>0</v>
      </c>
      <c r="L106" s="46"/>
      <c r="M106" s="22"/>
      <c r="N106" s="22"/>
      <c r="O106" s="46"/>
      <c r="P106" s="48">
        <f t="shared" si="28"/>
        <v>0</v>
      </c>
      <c r="Q106" s="175">
        <f t="shared" si="29"/>
        <v>0</v>
      </c>
      <c r="R106" s="175">
        <f t="shared" si="30"/>
        <v>0</v>
      </c>
      <c r="S106" s="186">
        <f t="shared" si="31"/>
        <v>0</v>
      </c>
      <c r="T106" s="44">
        <f t="shared" si="31"/>
        <v>0</v>
      </c>
      <c r="U106" s="46"/>
      <c r="V106" s="22"/>
      <c r="W106" s="22"/>
      <c r="X106" s="46"/>
      <c r="Y106" s="48">
        <f t="shared" si="32"/>
        <v>0</v>
      </c>
      <c r="Z106" s="175">
        <f t="shared" si="33"/>
        <v>0</v>
      </c>
      <c r="AA106" s="175">
        <f t="shared" si="34"/>
        <v>0</v>
      </c>
      <c r="AB106" s="186">
        <f t="shared" si="35"/>
        <v>0</v>
      </c>
      <c r="AC106" s="44">
        <f t="shared" si="35"/>
        <v>0</v>
      </c>
      <c r="AD106" s="46"/>
      <c r="AE106" s="22"/>
      <c r="AF106" s="22"/>
      <c r="AG106" s="46"/>
      <c r="AH106" s="48">
        <f t="shared" si="36"/>
        <v>0</v>
      </c>
      <c r="AI106" s="175">
        <f t="shared" si="37"/>
        <v>0</v>
      </c>
      <c r="AJ106" s="175">
        <f t="shared" si="38"/>
        <v>0</v>
      </c>
      <c r="AK106" s="186">
        <f t="shared" si="39"/>
        <v>0</v>
      </c>
      <c r="AL106" s="44">
        <f t="shared" si="39"/>
        <v>0</v>
      </c>
      <c r="AM106" s="46"/>
      <c r="AN106" s="22"/>
      <c r="AO106" s="22"/>
      <c r="AP106" s="46"/>
      <c r="AQ106" s="48">
        <f t="shared" si="40"/>
        <v>0</v>
      </c>
      <c r="AR106" s="175">
        <f t="shared" si="41"/>
        <v>0</v>
      </c>
      <c r="AS106" s="175">
        <f t="shared" si="42"/>
        <v>0</v>
      </c>
      <c r="AT106" s="186">
        <f t="shared" si="43"/>
        <v>0</v>
      </c>
      <c r="AU106" s="44">
        <f t="shared" si="43"/>
        <v>0</v>
      </c>
    </row>
    <row r="107" spans="1:47">
      <c r="A107" s="31">
        <f t="shared" si="44"/>
        <v>92</v>
      </c>
      <c r="B107" s="55">
        <f>Metadata!C115</f>
        <v>6.1916825645750871E-2</v>
      </c>
      <c r="C107" s="29"/>
      <c r="D107" s="22"/>
      <c r="E107" s="22"/>
      <c r="F107" s="46"/>
      <c r="G107" s="48">
        <f t="shared" si="23"/>
        <v>0</v>
      </c>
      <c r="H107" s="175">
        <f t="shared" si="24"/>
        <v>0</v>
      </c>
      <c r="I107" s="175">
        <f t="shared" si="25"/>
        <v>0</v>
      </c>
      <c r="J107" s="186">
        <f t="shared" si="26"/>
        <v>0</v>
      </c>
      <c r="K107" s="44">
        <f t="shared" si="27"/>
        <v>0</v>
      </c>
      <c r="L107" s="46"/>
      <c r="M107" s="22"/>
      <c r="N107" s="22"/>
      <c r="O107" s="46"/>
      <c r="P107" s="48">
        <f t="shared" si="28"/>
        <v>0</v>
      </c>
      <c r="Q107" s="175">
        <f t="shared" si="29"/>
        <v>0</v>
      </c>
      <c r="R107" s="175">
        <f t="shared" si="30"/>
        <v>0</v>
      </c>
      <c r="S107" s="186">
        <f t="shared" si="31"/>
        <v>0</v>
      </c>
      <c r="T107" s="44">
        <f t="shared" si="31"/>
        <v>0</v>
      </c>
      <c r="U107" s="46"/>
      <c r="V107" s="22"/>
      <c r="W107" s="22"/>
      <c r="X107" s="46"/>
      <c r="Y107" s="48">
        <f t="shared" si="32"/>
        <v>0</v>
      </c>
      <c r="Z107" s="175">
        <f t="shared" si="33"/>
        <v>0</v>
      </c>
      <c r="AA107" s="175">
        <f t="shared" si="34"/>
        <v>0</v>
      </c>
      <c r="AB107" s="186">
        <f t="shared" si="35"/>
        <v>0</v>
      </c>
      <c r="AC107" s="44">
        <f t="shared" si="35"/>
        <v>0</v>
      </c>
      <c r="AD107" s="46"/>
      <c r="AE107" s="22"/>
      <c r="AF107" s="22"/>
      <c r="AG107" s="46"/>
      <c r="AH107" s="48">
        <f t="shared" si="36"/>
        <v>0</v>
      </c>
      <c r="AI107" s="175">
        <f t="shared" si="37"/>
        <v>0</v>
      </c>
      <c r="AJ107" s="175">
        <f t="shared" si="38"/>
        <v>0</v>
      </c>
      <c r="AK107" s="186">
        <f t="shared" si="39"/>
        <v>0</v>
      </c>
      <c r="AL107" s="44">
        <f t="shared" si="39"/>
        <v>0</v>
      </c>
      <c r="AM107" s="46"/>
      <c r="AN107" s="22"/>
      <c r="AO107" s="22"/>
      <c r="AP107" s="46"/>
      <c r="AQ107" s="48">
        <f t="shared" si="40"/>
        <v>0</v>
      </c>
      <c r="AR107" s="175">
        <f t="shared" si="41"/>
        <v>0</v>
      </c>
      <c r="AS107" s="175">
        <f t="shared" si="42"/>
        <v>0</v>
      </c>
      <c r="AT107" s="186">
        <f t="shared" si="43"/>
        <v>0</v>
      </c>
      <c r="AU107" s="44">
        <f t="shared" si="43"/>
        <v>0</v>
      </c>
    </row>
    <row r="108" spans="1:47">
      <c r="A108" s="31">
        <f t="shared" si="44"/>
        <v>93</v>
      </c>
      <c r="B108" s="55">
        <f>Metadata!C116</f>
        <v>6.0406659166586218E-2</v>
      </c>
      <c r="C108" s="29"/>
      <c r="D108" s="22"/>
      <c r="E108" s="22"/>
      <c r="F108" s="46"/>
      <c r="G108" s="48">
        <f t="shared" si="23"/>
        <v>0</v>
      </c>
      <c r="H108" s="175">
        <f t="shared" si="24"/>
        <v>0</v>
      </c>
      <c r="I108" s="175">
        <f t="shared" si="25"/>
        <v>0</v>
      </c>
      <c r="J108" s="186">
        <f t="shared" si="26"/>
        <v>0</v>
      </c>
      <c r="K108" s="44">
        <f t="shared" si="27"/>
        <v>0</v>
      </c>
      <c r="L108" s="46"/>
      <c r="M108" s="22"/>
      <c r="N108" s="22"/>
      <c r="O108" s="46"/>
      <c r="P108" s="48">
        <f t="shared" si="28"/>
        <v>0</v>
      </c>
      <c r="Q108" s="175">
        <f t="shared" si="29"/>
        <v>0</v>
      </c>
      <c r="R108" s="175">
        <f t="shared" si="30"/>
        <v>0</v>
      </c>
      <c r="S108" s="186">
        <f t="shared" si="31"/>
        <v>0</v>
      </c>
      <c r="T108" s="44">
        <f t="shared" si="31"/>
        <v>0</v>
      </c>
      <c r="U108" s="46"/>
      <c r="V108" s="22"/>
      <c r="W108" s="22"/>
      <c r="X108" s="46"/>
      <c r="Y108" s="48">
        <f t="shared" si="32"/>
        <v>0</v>
      </c>
      <c r="Z108" s="175">
        <f t="shared" si="33"/>
        <v>0</v>
      </c>
      <c r="AA108" s="175">
        <f t="shared" si="34"/>
        <v>0</v>
      </c>
      <c r="AB108" s="186">
        <f t="shared" si="35"/>
        <v>0</v>
      </c>
      <c r="AC108" s="44">
        <f t="shared" si="35"/>
        <v>0</v>
      </c>
      <c r="AD108" s="46"/>
      <c r="AE108" s="22"/>
      <c r="AF108" s="22"/>
      <c r="AG108" s="46"/>
      <c r="AH108" s="48">
        <f t="shared" si="36"/>
        <v>0</v>
      </c>
      <c r="AI108" s="175">
        <f t="shared" si="37"/>
        <v>0</v>
      </c>
      <c r="AJ108" s="175">
        <f t="shared" si="38"/>
        <v>0</v>
      </c>
      <c r="AK108" s="186">
        <f t="shared" si="39"/>
        <v>0</v>
      </c>
      <c r="AL108" s="44">
        <f t="shared" si="39"/>
        <v>0</v>
      </c>
      <c r="AM108" s="46"/>
      <c r="AN108" s="22"/>
      <c r="AO108" s="22"/>
      <c r="AP108" s="46"/>
      <c r="AQ108" s="48">
        <f t="shared" si="40"/>
        <v>0</v>
      </c>
      <c r="AR108" s="175">
        <f t="shared" si="41"/>
        <v>0</v>
      </c>
      <c r="AS108" s="175">
        <f t="shared" si="42"/>
        <v>0</v>
      </c>
      <c r="AT108" s="186">
        <f t="shared" si="43"/>
        <v>0</v>
      </c>
      <c r="AU108" s="44">
        <f t="shared" si="43"/>
        <v>0</v>
      </c>
    </row>
    <row r="109" spans="1:47">
      <c r="A109" s="31">
        <f t="shared" si="44"/>
        <v>94</v>
      </c>
      <c r="B109" s="55">
        <f>Metadata!C117</f>
        <v>5.8933326016181682E-2</v>
      </c>
      <c r="C109" s="29"/>
      <c r="D109" s="22"/>
      <c r="E109" s="22"/>
      <c r="F109" s="46"/>
      <c r="G109" s="48">
        <f t="shared" si="23"/>
        <v>0</v>
      </c>
      <c r="H109" s="175">
        <f t="shared" si="24"/>
        <v>0</v>
      </c>
      <c r="I109" s="175">
        <f t="shared" si="25"/>
        <v>0</v>
      </c>
      <c r="J109" s="186">
        <f t="shared" si="26"/>
        <v>0</v>
      </c>
      <c r="K109" s="44">
        <f t="shared" si="27"/>
        <v>0</v>
      </c>
      <c r="L109" s="46"/>
      <c r="M109" s="22"/>
      <c r="N109" s="22"/>
      <c r="O109" s="46"/>
      <c r="P109" s="48">
        <f t="shared" si="28"/>
        <v>0</v>
      </c>
      <c r="Q109" s="175">
        <f t="shared" si="29"/>
        <v>0</v>
      </c>
      <c r="R109" s="175">
        <f t="shared" si="30"/>
        <v>0</v>
      </c>
      <c r="S109" s="186">
        <f t="shared" si="31"/>
        <v>0</v>
      </c>
      <c r="T109" s="44">
        <f t="shared" si="31"/>
        <v>0</v>
      </c>
      <c r="U109" s="46"/>
      <c r="V109" s="22"/>
      <c r="W109" s="22"/>
      <c r="X109" s="46"/>
      <c r="Y109" s="48">
        <f t="shared" si="32"/>
        <v>0</v>
      </c>
      <c r="Z109" s="175">
        <f t="shared" si="33"/>
        <v>0</v>
      </c>
      <c r="AA109" s="175">
        <f t="shared" si="34"/>
        <v>0</v>
      </c>
      <c r="AB109" s="186">
        <f t="shared" si="35"/>
        <v>0</v>
      </c>
      <c r="AC109" s="44">
        <f t="shared" si="35"/>
        <v>0</v>
      </c>
      <c r="AD109" s="46"/>
      <c r="AE109" s="22"/>
      <c r="AF109" s="22"/>
      <c r="AG109" s="46"/>
      <c r="AH109" s="48">
        <f t="shared" si="36"/>
        <v>0</v>
      </c>
      <c r="AI109" s="175">
        <f t="shared" si="37"/>
        <v>0</v>
      </c>
      <c r="AJ109" s="175">
        <f t="shared" si="38"/>
        <v>0</v>
      </c>
      <c r="AK109" s="186">
        <f t="shared" si="39"/>
        <v>0</v>
      </c>
      <c r="AL109" s="44">
        <f t="shared" si="39"/>
        <v>0</v>
      </c>
      <c r="AM109" s="46"/>
      <c r="AN109" s="22"/>
      <c r="AO109" s="22"/>
      <c r="AP109" s="46"/>
      <c r="AQ109" s="48">
        <f t="shared" si="40"/>
        <v>0</v>
      </c>
      <c r="AR109" s="175">
        <f t="shared" si="41"/>
        <v>0</v>
      </c>
      <c r="AS109" s="175">
        <f t="shared" si="42"/>
        <v>0</v>
      </c>
      <c r="AT109" s="186">
        <f t="shared" si="43"/>
        <v>0</v>
      </c>
      <c r="AU109" s="44">
        <f t="shared" si="43"/>
        <v>0</v>
      </c>
    </row>
    <row r="110" spans="1:47">
      <c r="A110" s="31">
        <f t="shared" si="44"/>
        <v>95</v>
      </c>
      <c r="B110" s="55">
        <f>Metadata!C118</f>
        <v>5.7495927820665059E-2</v>
      </c>
      <c r="C110" s="29"/>
      <c r="D110" s="22"/>
      <c r="E110" s="22"/>
      <c r="F110" s="46"/>
      <c r="G110" s="48">
        <f t="shared" si="23"/>
        <v>0</v>
      </c>
      <c r="H110" s="175">
        <f t="shared" si="24"/>
        <v>0</v>
      </c>
      <c r="I110" s="175">
        <f t="shared" si="25"/>
        <v>0</v>
      </c>
      <c r="J110" s="186">
        <f t="shared" si="26"/>
        <v>0</v>
      </c>
      <c r="K110" s="44">
        <f t="shared" si="27"/>
        <v>0</v>
      </c>
      <c r="L110" s="46"/>
      <c r="M110" s="22"/>
      <c r="N110" s="22"/>
      <c r="O110" s="46"/>
      <c r="P110" s="48">
        <f t="shared" si="28"/>
        <v>0</v>
      </c>
      <c r="Q110" s="175">
        <f t="shared" si="29"/>
        <v>0</v>
      </c>
      <c r="R110" s="175">
        <f t="shared" si="30"/>
        <v>0</v>
      </c>
      <c r="S110" s="186">
        <f t="shared" si="31"/>
        <v>0</v>
      </c>
      <c r="T110" s="44">
        <f t="shared" si="31"/>
        <v>0</v>
      </c>
      <c r="U110" s="46"/>
      <c r="V110" s="22"/>
      <c r="W110" s="22"/>
      <c r="X110" s="46"/>
      <c r="Y110" s="48">
        <f t="shared" si="32"/>
        <v>0</v>
      </c>
      <c r="Z110" s="175">
        <f t="shared" si="33"/>
        <v>0</v>
      </c>
      <c r="AA110" s="175">
        <f t="shared" si="34"/>
        <v>0</v>
      </c>
      <c r="AB110" s="186">
        <f t="shared" si="35"/>
        <v>0</v>
      </c>
      <c r="AC110" s="44">
        <f t="shared" si="35"/>
        <v>0</v>
      </c>
      <c r="AD110" s="46"/>
      <c r="AE110" s="22"/>
      <c r="AF110" s="22"/>
      <c r="AG110" s="46"/>
      <c r="AH110" s="48">
        <f t="shared" si="36"/>
        <v>0</v>
      </c>
      <c r="AI110" s="175">
        <f t="shared" si="37"/>
        <v>0</v>
      </c>
      <c r="AJ110" s="175">
        <f t="shared" si="38"/>
        <v>0</v>
      </c>
      <c r="AK110" s="186">
        <f t="shared" si="39"/>
        <v>0</v>
      </c>
      <c r="AL110" s="44">
        <f t="shared" si="39"/>
        <v>0</v>
      </c>
      <c r="AM110" s="46"/>
      <c r="AN110" s="22"/>
      <c r="AO110" s="22"/>
      <c r="AP110" s="46"/>
      <c r="AQ110" s="48">
        <f t="shared" si="40"/>
        <v>0</v>
      </c>
      <c r="AR110" s="175">
        <f t="shared" si="41"/>
        <v>0</v>
      </c>
      <c r="AS110" s="175">
        <f t="shared" si="42"/>
        <v>0</v>
      </c>
      <c r="AT110" s="186">
        <f t="shared" si="43"/>
        <v>0</v>
      </c>
      <c r="AU110" s="44">
        <f t="shared" si="43"/>
        <v>0</v>
      </c>
    </row>
    <row r="111" spans="1:47">
      <c r="A111" s="31">
        <f t="shared" si="44"/>
        <v>96</v>
      </c>
      <c r="B111" s="55">
        <f>Metadata!C119</f>
        <v>5.6093588117722012E-2</v>
      </c>
      <c r="C111" s="29"/>
      <c r="D111" s="22"/>
      <c r="E111" s="22"/>
      <c r="F111" s="46"/>
      <c r="G111" s="48">
        <f t="shared" si="23"/>
        <v>0</v>
      </c>
      <c r="H111" s="175">
        <f t="shared" si="24"/>
        <v>0</v>
      </c>
      <c r="I111" s="175">
        <f t="shared" si="25"/>
        <v>0</v>
      </c>
      <c r="J111" s="186">
        <f t="shared" si="26"/>
        <v>0</v>
      </c>
      <c r="K111" s="44">
        <f t="shared" si="27"/>
        <v>0</v>
      </c>
      <c r="L111" s="46"/>
      <c r="M111" s="22"/>
      <c r="N111" s="22"/>
      <c r="O111" s="46"/>
      <c r="P111" s="48">
        <f t="shared" si="28"/>
        <v>0</v>
      </c>
      <c r="Q111" s="175">
        <f t="shared" si="29"/>
        <v>0</v>
      </c>
      <c r="R111" s="175">
        <f t="shared" si="30"/>
        <v>0</v>
      </c>
      <c r="S111" s="186">
        <f t="shared" si="31"/>
        <v>0</v>
      </c>
      <c r="T111" s="44">
        <f t="shared" si="31"/>
        <v>0</v>
      </c>
      <c r="U111" s="46"/>
      <c r="V111" s="22"/>
      <c r="W111" s="22"/>
      <c r="X111" s="46"/>
      <c r="Y111" s="48">
        <f t="shared" si="32"/>
        <v>0</v>
      </c>
      <c r="Z111" s="175">
        <f t="shared" si="33"/>
        <v>0</v>
      </c>
      <c r="AA111" s="175">
        <f t="shared" si="34"/>
        <v>0</v>
      </c>
      <c r="AB111" s="186">
        <f t="shared" si="35"/>
        <v>0</v>
      </c>
      <c r="AC111" s="44">
        <f t="shared" si="35"/>
        <v>0</v>
      </c>
      <c r="AD111" s="46"/>
      <c r="AE111" s="22"/>
      <c r="AF111" s="22"/>
      <c r="AG111" s="46"/>
      <c r="AH111" s="48">
        <f t="shared" si="36"/>
        <v>0</v>
      </c>
      <c r="AI111" s="175">
        <f t="shared" si="37"/>
        <v>0</v>
      </c>
      <c r="AJ111" s="175">
        <f t="shared" si="38"/>
        <v>0</v>
      </c>
      <c r="AK111" s="186">
        <f t="shared" si="39"/>
        <v>0</v>
      </c>
      <c r="AL111" s="44">
        <f t="shared" si="39"/>
        <v>0</v>
      </c>
      <c r="AM111" s="46"/>
      <c r="AN111" s="22"/>
      <c r="AO111" s="22"/>
      <c r="AP111" s="46"/>
      <c r="AQ111" s="48">
        <f t="shared" si="40"/>
        <v>0</v>
      </c>
      <c r="AR111" s="175">
        <f t="shared" si="41"/>
        <v>0</v>
      </c>
      <c r="AS111" s="175">
        <f t="shared" si="42"/>
        <v>0</v>
      </c>
      <c r="AT111" s="186">
        <f t="shared" si="43"/>
        <v>0</v>
      </c>
      <c r="AU111" s="44">
        <f t="shared" si="43"/>
        <v>0</v>
      </c>
    </row>
    <row r="112" spans="1:47">
      <c r="A112" s="31">
        <f t="shared" si="44"/>
        <v>97</v>
      </c>
      <c r="B112" s="55">
        <f>Metadata!C120</f>
        <v>5.4725451822167821E-2</v>
      </c>
      <c r="C112" s="29"/>
      <c r="D112" s="22"/>
      <c r="E112" s="22"/>
      <c r="F112" s="46"/>
      <c r="G112" s="48">
        <f t="shared" si="23"/>
        <v>0</v>
      </c>
      <c r="H112" s="175">
        <f t="shared" si="24"/>
        <v>0</v>
      </c>
      <c r="I112" s="175">
        <f t="shared" si="25"/>
        <v>0</v>
      </c>
      <c r="J112" s="186">
        <f t="shared" si="26"/>
        <v>0</v>
      </c>
      <c r="K112" s="44">
        <f t="shared" si="27"/>
        <v>0</v>
      </c>
      <c r="L112" s="46"/>
      <c r="M112" s="22"/>
      <c r="N112" s="22"/>
      <c r="O112" s="46"/>
      <c r="P112" s="48">
        <f t="shared" si="28"/>
        <v>0</v>
      </c>
      <c r="Q112" s="175">
        <f t="shared" si="29"/>
        <v>0</v>
      </c>
      <c r="R112" s="175">
        <f t="shared" si="30"/>
        <v>0</v>
      </c>
      <c r="S112" s="186">
        <f t="shared" si="31"/>
        <v>0</v>
      </c>
      <c r="T112" s="44">
        <f t="shared" si="31"/>
        <v>0</v>
      </c>
      <c r="U112" s="46"/>
      <c r="V112" s="22"/>
      <c r="W112" s="22"/>
      <c r="X112" s="46"/>
      <c r="Y112" s="48">
        <f t="shared" si="32"/>
        <v>0</v>
      </c>
      <c r="Z112" s="175">
        <f t="shared" si="33"/>
        <v>0</v>
      </c>
      <c r="AA112" s="175">
        <f t="shared" si="34"/>
        <v>0</v>
      </c>
      <c r="AB112" s="186">
        <f t="shared" si="35"/>
        <v>0</v>
      </c>
      <c r="AC112" s="44">
        <f t="shared" si="35"/>
        <v>0</v>
      </c>
      <c r="AD112" s="46"/>
      <c r="AE112" s="22"/>
      <c r="AF112" s="22"/>
      <c r="AG112" s="46"/>
      <c r="AH112" s="48">
        <f t="shared" si="36"/>
        <v>0</v>
      </c>
      <c r="AI112" s="175">
        <f t="shared" si="37"/>
        <v>0</v>
      </c>
      <c r="AJ112" s="175">
        <f t="shared" si="38"/>
        <v>0</v>
      </c>
      <c r="AK112" s="186">
        <f t="shared" si="39"/>
        <v>0</v>
      </c>
      <c r="AL112" s="44">
        <f t="shared" si="39"/>
        <v>0</v>
      </c>
      <c r="AM112" s="46"/>
      <c r="AN112" s="22"/>
      <c r="AO112" s="22"/>
      <c r="AP112" s="46"/>
      <c r="AQ112" s="48">
        <f t="shared" si="40"/>
        <v>0</v>
      </c>
      <c r="AR112" s="175">
        <f t="shared" si="41"/>
        <v>0</v>
      </c>
      <c r="AS112" s="175">
        <f t="shared" si="42"/>
        <v>0</v>
      </c>
      <c r="AT112" s="186">
        <f t="shared" si="43"/>
        <v>0</v>
      </c>
      <c r="AU112" s="44">
        <f t="shared" si="43"/>
        <v>0</v>
      </c>
    </row>
    <row r="113" spans="1:47">
      <c r="A113" s="31">
        <f t="shared" si="44"/>
        <v>98</v>
      </c>
      <c r="B113" s="55">
        <f>Metadata!C121</f>
        <v>5.3390684704553978E-2</v>
      </c>
      <c r="C113" s="29"/>
      <c r="D113" s="22"/>
      <c r="E113" s="22"/>
      <c r="F113" s="46"/>
      <c r="G113" s="48">
        <f t="shared" si="23"/>
        <v>0</v>
      </c>
      <c r="H113" s="175">
        <f t="shared" si="24"/>
        <v>0</v>
      </c>
      <c r="I113" s="175">
        <f t="shared" si="25"/>
        <v>0</v>
      </c>
      <c r="J113" s="186">
        <f t="shared" si="26"/>
        <v>0</v>
      </c>
      <c r="K113" s="44">
        <f t="shared" si="27"/>
        <v>0</v>
      </c>
      <c r="L113" s="46"/>
      <c r="M113" s="22"/>
      <c r="N113" s="22"/>
      <c r="O113" s="46"/>
      <c r="P113" s="48">
        <f t="shared" si="28"/>
        <v>0</v>
      </c>
      <c r="Q113" s="175">
        <f t="shared" si="29"/>
        <v>0</v>
      </c>
      <c r="R113" s="175">
        <f t="shared" si="30"/>
        <v>0</v>
      </c>
      <c r="S113" s="186">
        <f t="shared" si="31"/>
        <v>0</v>
      </c>
      <c r="T113" s="44">
        <f t="shared" si="31"/>
        <v>0</v>
      </c>
      <c r="U113" s="46"/>
      <c r="V113" s="22"/>
      <c r="W113" s="22"/>
      <c r="X113" s="46"/>
      <c r="Y113" s="48">
        <f t="shared" si="32"/>
        <v>0</v>
      </c>
      <c r="Z113" s="175">
        <f t="shared" si="33"/>
        <v>0</v>
      </c>
      <c r="AA113" s="175">
        <f t="shared" si="34"/>
        <v>0</v>
      </c>
      <c r="AB113" s="186">
        <f t="shared" si="35"/>
        <v>0</v>
      </c>
      <c r="AC113" s="44">
        <f t="shared" si="35"/>
        <v>0</v>
      </c>
      <c r="AD113" s="46"/>
      <c r="AE113" s="22"/>
      <c r="AF113" s="22"/>
      <c r="AG113" s="46"/>
      <c r="AH113" s="48">
        <f t="shared" si="36"/>
        <v>0</v>
      </c>
      <c r="AI113" s="175">
        <f t="shared" si="37"/>
        <v>0</v>
      </c>
      <c r="AJ113" s="175">
        <f t="shared" si="38"/>
        <v>0</v>
      </c>
      <c r="AK113" s="186">
        <f t="shared" si="39"/>
        <v>0</v>
      </c>
      <c r="AL113" s="44">
        <f t="shared" si="39"/>
        <v>0</v>
      </c>
      <c r="AM113" s="46"/>
      <c r="AN113" s="22"/>
      <c r="AO113" s="22"/>
      <c r="AP113" s="46"/>
      <c r="AQ113" s="48">
        <f t="shared" si="40"/>
        <v>0</v>
      </c>
      <c r="AR113" s="175">
        <f t="shared" si="41"/>
        <v>0</v>
      </c>
      <c r="AS113" s="175">
        <f t="shared" si="42"/>
        <v>0</v>
      </c>
      <c r="AT113" s="186">
        <f t="shared" si="43"/>
        <v>0</v>
      </c>
      <c r="AU113" s="44">
        <f t="shared" si="43"/>
        <v>0</v>
      </c>
    </row>
    <row r="114" spans="1:47" ht="13.5" thickBot="1">
      <c r="A114" s="31">
        <f t="shared" si="44"/>
        <v>99</v>
      </c>
      <c r="B114" s="55">
        <f>Metadata!C122</f>
        <v>5.2088472882491688E-2</v>
      </c>
      <c r="C114" s="29"/>
      <c r="D114" s="22"/>
      <c r="E114" s="22"/>
      <c r="F114" s="46"/>
      <c r="G114" s="200">
        <f t="shared" si="23"/>
        <v>0</v>
      </c>
      <c r="H114" s="176">
        <f t="shared" si="24"/>
        <v>0</v>
      </c>
      <c r="I114" s="176">
        <f t="shared" si="25"/>
        <v>0</v>
      </c>
      <c r="J114" s="187">
        <f t="shared" si="26"/>
        <v>0</v>
      </c>
      <c r="K114" s="177">
        <f t="shared" si="27"/>
        <v>0</v>
      </c>
      <c r="L114" s="46"/>
      <c r="M114" s="22"/>
      <c r="N114" s="22"/>
      <c r="O114" s="46"/>
      <c r="P114" s="200">
        <f t="shared" si="28"/>
        <v>0</v>
      </c>
      <c r="Q114" s="176">
        <f t="shared" si="29"/>
        <v>0</v>
      </c>
      <c r="R114" s="176">
        <f t="shared" si="30"/>
        <v>0</v>
      </c>
      <c r="S114" s="187">
        <f t="shared" si="31"/>
        <v>0</v>
      </c>
      <c r="T114" s="177">
        <f t="shared" si="31"/>
        <v>0</v>
      </c>
      <c r="U114" s="46"/>
      <c r="V114" s="22"/>
      <c r="W114" s="22"/>
      <c r="X114" s="46"/>
      <c r="Y114" s="200">
        <f t="shared" si="32"/>
        <v>0</v>
      </c>
      <c r="Z114" s="176">
        <f t="shared" si="33"/>
        <v>0</v>
      </c>
      <c r="AA114" s="176">
        <f t="shared" si="34"/>
        <v>0</v>
      </c>
      <c r="AB114" s="187">
        <f t="shared" si="35"/>
        <v>0</v>
      </c>
      <c r="AC114" s="177">
        <f t="shared" si="35"/>
        <v>0</v>
      </c>
      <c r="AD114" s="46"/>
      <c r="AE114" s="22"/>
      <c r="AF114" s="22"/>
      <c r="AG114" s="46"/>
      <c r="AH114" s="200">
        <f t="shared" si="36"/>
        <v>0</v>
      </c>
      <c r="AI114" s="176">
        <f t="shared" si="37"/>
        <v>0</v>
      </c>
      <c r="AJ114" s="176">
        <f t="shared" si="38"/>
        <v>0</v>
      </c>
      <c r="AK114" s="187">
        <f t="shared" si="39"/>
        <v>0</v>
      </c>
      <c r="AL114" s="177">
        <f t="shared" si="39"/>
        <v>0</v>
      </c>
      <c r="AM114" s="46"/>
      <c r="AN114" s="22"/>
      <c r="AO114" s="22"/>
      <c r="AP114" s="46"/>
      <c r="AQ114" s="200">
        <f t="shared" si="40"/>
        <v>0</v>
      </c>
      <c r="AR114" s="176">
        <f t="shared" si="41"/>
        <v>0</v>
      </c>
      <c r="AS114" s="176">
        <f t="shared" si="42"/>
        <v>0</v>
      </c>
      <c r="AT114" s="187">
        <f t="shared" si="43"/>
        <v>0</v>
      </c>
      <c r="AU114" s="177">
        <f t="shared" si="43"/>
        <v>0</v>
      </c>
    </row>
    <row r="115" spans="1:47">
      <c r="A115" s="6"/>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8"/>
    </row>
    <row r="116" spans="1:47" ht="13.5" thickBo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13"/>
    </row>
  </sheetData>
  <mergeCells count="2">
    <mergeCell ref="A3:D3"/>
    <mergeCell ref="A5:D5"/>
  </mergeCells>
  <phoneticPr fontId="11" type="noConversion"/>
  <pageMargins left="0.75" right="0.75" top="1" bottom="1" header="0.5" footer="0.5"/>
  <pageSetup paperSize="9" scale="54" fitToHeight="2" orientation="landscape" r:id="rId1"/>
  <headerFooter alignWithMargins="0">
    <oddHeader>&amp;LFCDPAG3&amp;C&amp;A</oddHeader>
  </headerFooter>
  <rowBreaks count="1" manualBreakCount="1">
    <brk id="64" max="21"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CD6D-B7B5-4EF8-9FE2-1CA94B933F08}">
  <dimension ref="A1:AV116"/>
  <sheetViews>
    <sheetView zoomScale="80" zoomScaleNormal="80" workbookViewId="0">
      <selection activeCell="L123" sqref="L123"/>
    </sheetView>
  </sheetViews>
  <sheetFormatPr defaultRowHeight="12.75"/>
  <cols>
    <col min="1" max="1" width="4.5703125" customWidth="1"/>
    <col min="2" max="2" width="13" customWidth="1"/>
    <col min="3" max="3" width="10.7109375" customWidth="1"/>
    <col min="4" max="4" width="11.85546875" customWidth="1"/>
    <col min="5" max="5" width="12.42578125" customWidth="1"/>
    <col min="6" max="6" width="12.5703125" customWidth="1"/>
    <col min="7" max="7" width="14.28515625" customWidth="1"/>
    <col min="8" max="8" width="10.7109375" customWidth="1"/>
    <col min="9" max="12" width="11.85546875" customWidth="1"/>
    <col min="13" max="16" width="11.7109375" customWidth="1"/>
    <col min="17" max="17" width="10.7109375" customWidth="1"/>
    <col min="18" max="21" width="11.7109375" customWidth="1"/>
    <col min="22" max="25" width="13" customWidth="1"/>
    <col min="26" max="26" width="10.7109375" customWidth="1"/>
    <col min="27" max="30" width="11.85546875" customWidth="1"/>
    <col min="31" max="31" width="16.85546875" customWidth="1"/>
    <col min="32" max="34" width="10.7109375" customWidth="1"/>
    <col min="35" max="35" width="13.42578125" customWidth="1"/>
    <col min="36" max="39" width="12" customWidth="1"/>
    <col min="43" max="43" width="10.7109375" customWidth="1"/>
    <col min="44" max="44" width="12" customWidth="1"/>
    <col min="45" max="48" width="14" customWidth="1"/>
  </cols>
  <sheetData>
    <row r="1" spans="1:48" ht="18">
      <c r="A1" s="6"/>
      <c r="B1" s="2"/>
      <c r="C1" s="2"/>
      <c r="D1" s="23"/>
      <c r="E1" s="23"/>
      <c r="F1" s="2"/>
      <c r="G1" s="2"/>
      <c r="H1" s="2"/>
      <c r="I1" s="2"/>
      <c r="J1" s="2"/>
      <c r="K1" s="2"/>
      <c r="L1" s="2"/>
      <c r="M1" s="2"/>
      <c r="N1" s="2"/>
      <c r="O1" s="62" t="s">
        <v>201</v>
      </c>
      <c r="P1" s="2"/>
      <c r="Q1" s="2"/>
      <c r="R1" s="2"/>
      <c r="S1" s="75" t="s">
        <v>202</v>
      </c>
      <c r="T1" s="2"/>
      <c r="U1" s="2"/>
      <c r="V1" s="2"/>
      <c r="W1" s="2"/>
      <c r="X1" s="2"/>
      <c r="Y1" s="2"/>
      <c r="Z1" s="2"/>
      <c r="AA1" s="2"/>
      <c r="AB1" s="2"/>
      <c r="AC1" s="2"/>
      <c r="AD1" s="2"/>
      <c r="AE1" s="2"/>
      <c r="AF1" s="75" t="s">
        <v>92</v>
      </c>
      <c r="AG1" s="82"/>
      <c r="AH1" s="2"/>
      <c r="AI1" s="2"/>
      <c r="AJ1" s="2"/>
      <c r="AK1" s="2"/>
      <c r="AL1" s="2"/>
      <c r="AM1" s="2"/>
      <c r="AN1" s="1"/>
      <c r="AO1" s="1"/>
      <c r="AP1" s="1"/>
      <c r="AQ1" s="2"/>
      <c r="AR1" s="1"/>
      <c r="AS1" s="1"/>
      <c r="AT1" s="1"/>
      <c r="AU1" s="1"/>
      <c r="AV1" s="9"/>
    </row>
    <row r="2" spans="1:48">
      <c r="A2" s="20" t="s">
        <v>42</v>
      </c>
      <c r="B2" s="1"/>
      <c r="C2" s="1"/>
      <c r="D2" s="1"/>
      <c r="E2" s="1"/>
      <c r="F2" s="1"/>
      <c r="G2" s="1"/>
      <c r="H2" s="1"/>
      <c r="I2" s="1"/>
      <c r="J2" s="1"/>
      <c r="K2" s="1"/>
      <c r="L2" s="1"/>
      <c r="M2" s="1"/>
      <c r="N2" s="1"/>
      <c r="O2" s="1"/>
      <c r="P2" s="1"/>
      <c r="Q2" s="1"/>
      <c r="R2" s="1"/>
      <c r="S2" s="26" t="s">
        <v>203</v>
      </c>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9"/>
    </row>
    <row r="3" spans="1:48" ht="13.5" thickBot="1">
      <c r="A3" s="385">
        <f>Summary!A3</f>
        <v>0</v>
      </c>
      <c r="B3" s="30"/>
      <c r="C3" s="30"/>
      <c r="D3" s="30"/>
      <c r="E3" s="30"/>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9"/>
    </row>
    <row r="4" spans="1:48" ht="15">
      <c r="A4" s="20" t="s">
        <v>45</v>
      </c>
      <c r="B4" s="1"/>
      <c r="C4" s="1"/>
      <c r="D4" s="1"/>
      <c r="E4" s="1"/>
      <c r="F4" s="1"/>
      <c r="G4" s="1"/>
      <c r="H4" s="1"/>
      <c r="I4" s="1"/>
      <c r="J4" s="1"/>
      <c r="K4" s="1"/>
      <c r="L4" s="1"/>
      <c r="M4" s="388" t="str">
        <f>CONCATENATE("Results ",E8)</f>
        <v>Results £k</v>
      </c>
      <c r="N4" s="17"/>
      <c r="O4" s="17"/>
      <c r="P4" s="17"/>
      <c r="Q4" s="17"/>
      <c r="R4" s="17"/>
      <c r="S4" s="17"/>
      <c r="T4" s="17"/>
      <c r="U4" s="17"/>
      <c r="V4" s="17"/>
      <c r="W4" s="17"/>
      <c r="X4" s="17"/>
      <c r="Y4" s="17"/>
      <c r="Z4" s="17"/>
      <c r="AA4" s="17"/>
      <c r="AB4" s="17"/>
      <c r="AC4" s="17"/>
      <c r="AD4" s="17"/>
      <c r="AE4" s="8"/>
      <c r="AF4" s="1" t="s">
        <v>43</v>
      </c>
      <c r="AG4" s="1"/>
      <c r="AH4" s="1"/>
      <c r="AI4" s="72">
        <f>Summary!F2</f>
        <v>44562</v>
      </c>
      <c r="AJ4" s="182"/>
      <c r="AK4" s="182"/>
      <c r="AL4" s="1"/>
      <c r="AM4" s="24"/>
      <c r="AN4" s="1"/>
      <c r="AO4" s="1"/>
      <c r="AP4" s="1"/>
      <c r="AQ4" s="1"/>
      <c r="AR4" s="1"/>
      <c r="AS4" s="1"/>
      <c r="AT4" s="1"/>
      <c r="AU4" s="1"/>
      <c r="AV4" s="189"/>
    </row>
    <row r="5" spans="1:48">
      <c r="A5" s="385">
        <f>Summary!A5</f>
        <v>0</v>
      </c>
      <c r="B5" s="30"/>
      <c r="C5" s="30"/>
      <c r="D5" s="30"/>
      <c r="E5" s="30"/>
      <c r="F5" s="1"/>
      <c r="G5" s="1"/>
      <c r="H5" s="77"/>
      <c r="I5" s="77"/>
      <c r="J5" s="77"/>
      <c r="K5" s="77"/>
      <c r="L5" s="77"/>
      <c r="M5" s="12"/>
      <c r="N5" s="15"/>
      <c r="O5" s="1"/>
      <c r="P5" s="1"/>
      <c r="Q5" s="1"/>
      <c r="R5" s="1"/>
      <c r="S5" s="1"/>
      <c r="T5" s="1"/>
      <c r="U5" s="1"/>
      <c r="V5" s="1"/>
      <c r="W5" s="1"/>
      <c r="X5" s="1"/>
      <c r="Y5" s="1"/>
      <c r="Z5" s="1"/>
      <c r="AA5" s="1"/>
      <c r="AB5" s="1"/>
      <c r="AC5" s="1"/>
      <c r="AD5" s="1"/>
      <c r="AE5" s="9"/>
      <c r="AF5" s="1" t="s">
        <v>44</v>
      </c>
      <c r="AG5" s="1"/>
      <c r="AH5" s="1"/>
      <c r="AI5" s="72">
        <f ca="1">Summary!F3</f>
        <v>44692</v>
      </c>
      <c r="AJ5" s="182"/>
      <c r="AK5" s="182"/>
      <c r="AL5" s="1"/>
      <c r="AM5" s="1"/>
      <c r="AN5" s="1"/>
      <c r="AO5" s="1"/>
      <c r="AP5" s="1"/>
      <c r="AQ5" s="1"/>
      <c r="AR5" s="1"/>
      <c r="AS5" s="1"/>
      <c r="AT5" s="1"/>
      <c r="AU5" s="1"/>
      <c r="AV5" s="9"/>
    </row>
    <row r="6" spans="1:48">
      <c r="A6" s="20" t="s">
        <v>48</v>
      </c>
      <c r="B6" s="1"/>
      <c r="C6" s="1"/>
      <c r="D6" s="74"/>
      <c r="E6" s="64">
        <f>Summary!C6</f>
        <v>0</v>
      </c>
      <c r="F6" s="1"/>
      <c r="G6" s="1"/>
      <c r="H6" s="1"/>
      <c r="I6" s="1"/>
      <c r="J6" s="1"/>
      <c r="K6" s="1"/>
      <c r="L6" s="1"/>
      <c r="M6" s="389"/>
      <c r="N6" s="390"/>
      <c r="O6" s="377"/>
      <c r="P6" s="24"/>
      <c r="Q6" s="24"/>
      <c r="R6" s="24"/>
      <c r="S6" s="24"/>
      <c r="T6" s="24"/>
      <c r="U6" s="24"/>
      <c r="V6" s="24"/>
      <c r="W6" s="24"/>
      <c r="X6" s="24"/>
      <c r="Y6" s="24"/>
      <c r="Z6" s="24"/>
      <c r="AA6" s="24"/>
      <c r="AB6" s="24"/>
      <c r="AC6" s="24"/>
      <c r="AD6" s="24"/>
      <c r="AE6" s="189"/>
      <c r="AF6" s="216" t="s">
        <v>46</v>
      </c>
      <c r="AG6" s="1"/>
      <c r="AH6" s="24"/>
      <c r="AI6" s="59">
        <f>Summary!F4</f>
        <v>0</v>
      </c>
      <c r="AJ6" s="182"/>
      <c r="AK6" s="182"/>
      <c r="AL6" s="1"/>
      <c r="AM6" s="24"/>
      <c r="AN6" s="1"/>
      <c r="AO6" s="1"/>
      <c r="AP6" s="1"/>
      <c r="AQ6" s="24"/>
      <c r="AR6" s="1"/>
      <c r="AS6" s="1"/>
      <c r="AT6" s="1"/>
      <c r="AU6" s="1"/>
      <c r="AV6" s="189"/>
    </row>
    <row r="7" spans="1:48">
      <c r="A7" s="3" t="s">
        <v>50</v>
      </c>
      <c r="B7" s="1"/>
      <c r="C7" s="1"/>
      <c r="D7" s="1"/>
      <c r="E7" s="70">
        <f>Summary!C7</f>
        <v>44562</v>
      </c>
      <c r="F7" s="1"/>
      <c r="G7" s="1"/>
      <c r="H7" s="1"/>
      <c r="I7" s="1"/>
      <c r="J7" s="1"/>
      <c r="K7" s="1"/>
      <c r="L7" s="1"/>
      <c r="M7" s="389"/>
      <c r="N7" s="390"/>
      <c r="O7" s="377" t="str">
        <f>$E$10</f>
        <v>Do Nothing</v>
      </c>
      <c r="P7" s="24"/>
      <c r="Q7" s="377" t="str">
        <f>$N$10</f>
        <v>Do Minimum</v>
      </c>
      <c r="R7" s="24"/>
      <c r="S7" s="377" t="str">
        <f>$W$10</f>
        <v>Option 3</v>
      </c>
      <c r="T7" s="24"/>
      <c r="U7" s="377" t="str">
        <f>$AF$10</f>
        <v>Option 4</v>
      </c>
      <c r="V7" s="24"/>
      <c r="W7" s="377" t="str">
        <f>AO10</f>
        <v>Option 5</v>
      </c>
      <c r="X7" s="24"/>
      <c r="Y7" s="24"/>
      <c r="Z7" s="24"/>
      <c r="AA7" s="24"/>
      <c r="AB7" s="24"/>
      <c r="AC7" s="24"/>
      <c r="AD7" s="24"/>
      <c r="AE7" s="189"/>
      <c r="AF7" s="216" t="s">
        <v>47</v>
      </c>
      <c r="AG7" s="1"/>
      <c r="AH7" s="24"/>
      <c r="AI7" s="59">
        <f>Summary!F5</f>
        <v>0</v>
      </c>
      <c r="AJ7" s="182"/>
      <c r="AK7" s="182"/>
      <c r="AL7" s="1"/>
      <c r="AM7" s="24"/>
      <c r="AN7" s="1"/>
      <c r="AO7" s="1"/>
      <c r="AP7" s="1"/>
      <c r="AQ7" s="24"/>
      <c r="AR7" s="1"/>
      <c r="AS7" s="1"/>
      <c r="AT7" s="1"/>
      <c r="AU7" s="1"/>
      <c r="AV7" s="189"/>
    </row>
    <row r="8" spans="1:48">
      <c r="A8" s="3" t="s">
        <v>52</v>
      </c>
      <c r="B8" s="1"/>
      <c r="C8" s="1"/>
      <c r="D8" s="1"/>
      <c r="E8" s="64" t="str">
        <f>Summary!C8</f>
        <v>£k</v>
      </c>
      <c r="F8" s="1"/>
      <c r="G8" s="1"/>
      <c r="H8" s="1"/>
      <c r="I8" s="1"/>
      <c r="J8" s="1"/>
      <c r="K8" s="1"/>
      <c r="L8" s="1"/>
      <c r="M8" s="396" t="s">
        <v>188</v>
      </c>
      <c r="N8" s="390"/>
      <c r="O8" s="202">
        <f>SUM(I12:L12)</f>
        <v>0</v>
      </c>
      <c r="P8" s="24"/>
      <c r="Q8" s="202">
        <f>SUM(R12:U12)</f>
        <v>0</v>
      </c>
      <c r="R8" s="180"/>
      <c r="S8" s="202">
        <f>SUM(AA12:AD12)</f>
        <v>0</v>
      </c>
      <c r="T8" s="24"/>
      <c r="U8" s="202">
        <f>SUM(AJ12:AM12)</f>
        <v>0</v>
      </c>
      <c r="V8" s="24"/>
      <c r="W8" s="202">
        <f>SUM(AS12:AV12)</f>
        <v>0</v>
      </c>
      <c r="X8" s="24"/>
      <c r="Y8" s="24"/>
      <c r="Z8" s="24"/>
      <c r="AA8" s="24"/>
      <c r="AB8" s="24"/>
      <c r="AC8" s="24"/>
      <c r="AD8" s="24"/>
      <c r="AE8" s="189"/>
      <c r="AF8" s="216" t="s">
        <v>49</v>
      </c>
      <c r="AG8" s="1"/>
      <c r="AH8" s="180"/>
      <c r="AI8" s="59">
        <f>Summary!F6</f>
        <v>0</v>
      </c>
      <c r="AJ8" s="182"/>
      <c r="AK8" s="182"/>
      <c r="AL8" s="1"/>
      <c r="AM8" s="180"/>
      <c r="AN8" s="1"/>
      <c r="AO8" s="1"/>
      <c r="AP8" s="1"/>
      <c r="AQ8" s="180"/>
      <c r="AR8" s="1"/>
      <c r="AS8" s="1"/>
      <c r="AT8" s="1"/>
      <c r="AU8" s="1"/>
      <c r="AV8" s="190"/>
    </row>
    <row r="9" spans="1:48" ht="13.5" thickBot="1">
      <c r="A9" s="221" t="s">
        <v>189</v>
      </c>
      <c r="B9" s="15"/>
      <c r="C9" s="15"/>
      <c r="D9" s="15"/>
      <c r="E9" s="83"/>
      <c r="F9" s="14"/>
      <c r="G9" s="14"/>
      <c r="H9" s="1"/>
      <c r="I9" s="1"/>
      <c r="J9" s="1"/>
      <c r="K9" s="1"/>
      <c r="L9" s="1"/>
      <c r="M9" s="391"/>
      <c r="N9" s="392"/>
      <c r="O9" s="393"/>
      <c r="P9" s="393"/>
      <c r="Q9" s="393"/>
      <c r="R9" s="393"/>
      <c r="S9" s="393"/>
      <c r="T9" s="394"/>
      <c r="U9" s="394"/>
      <c r="V9" s="393"/>
      <c r="W9" s="394"/>
      <c r="X9" s="393"/>
      <c r="Y9" s="393"/>
      <c r="Z9" s="394"/>
      <c r="AA9" s="394"/>
      <c r="AB9" s="394"/>
      <c r="AC9" s="393"/>
      <c r="AD9" s="393"/>
      <c r="AE9" s="395"/>
      <c r="AF9" s="1"/>
      <c r="AG9" s="1"/>
      <c r="AH9" s="5"/>
      <c r="AI9" s="1"/>
      <c r="AJ9" s="1"/>
      <c r="AK9" s="1"/>
      <c r="AL9" s="5"/>
      <c r="AM9" s="5"/>
      <c r="AN9" s="5"/>
      <c r="AO9" s="5"/>
      <c r="AP9" s="5"/>
      <c r="AQ9" s="5"/>
      <c r="AR9" s="5"/>
      <c r="AS9" s="5"/>
      <c r="AT9" s="5"/>
      <c r="AU9" s="5"/>
      <c r="AV9" s="9"/>
    </row>
    <row r="10" spans="1:48">
      <c r="A10" s="3"/>
      <c r="B10" s="1"/>
      <c r="C10" s="1"/>
      <c r="D10" s="6"/>
      <c r="E10" s="172" t="str">
        <f>Summary!A47</f>
        <v>Do Nothing</v>
      </c>
      <c r="F10" s="172"/>
      <c r="G10" s="172"/>
      <c r="H10" s="67" t="s">
        <v>190</v>
      </c>
      <c r="I10" s="75" t="s">
        <v>148</v>
      </c>
      <c r="J10" s="75" t="s">
        <v>148</v>
      </c>
      <c r="K10" s="75" t="s">
        <v>148</v>
      </c>
      <c r="L10" s="179" t="s">
        <v>148</v>
      </c>
      <c r="M10" s="2"/>
      <c r="N10" s="172" t="str">
        <f>Summary!A48</f>
        <v>Do Minimum</v>
      </c>
      <c r="O10" s="172"/>
      <c r="P10" s="172"/>
      <c r="Q10" s="67" t="s">
        <v>190</v>
      </c>
      <c r="R10" s="75" t="s">
        <v>148</v>
      </c>
      <c r="S10" s="75" t="s">
        <v>148</v>
      </c>
      <c r="T10" s="75" t="s">
        <v>148</v>
      </c>
      <c r="U10" s="179" t="s">
        <v>148</v>
      </c>
      <c r="V10" s="6"/>
      <c r="W10" s="172" t="str">
        <f>Summary!A49</f>
        <v>Option 3</v>
      </c>
      <c r="X10" s="172"/>
      <c r="Y10" s="172"/>
      <c r="Z10" s="67" t="s">
        <v>190</v>
      </c>
      <c r="AA10" s="75" t="s">
        <v>148</v>
      </c>
      <c r="AB10" s="75" t="s">
        <v>148</v>
      </c>
      <c r="AC10" s="75" t="s">
        <v>148</v>
      </c>
      <c r="AD10" s="179" t="s">
        <v>148</v>
      </c>
      <c r="AE10" s="6"/>
      <c r="AF10" s="172" t="str">
        <f>Summary!A50</f>
        <v>Option 4</v>
      </c>
      <c r="AG10" s="172"/>
      <c r="AH10" s="172"/>
      <c r="AI10" s="67" t="s">
        <v>190</v>
      </c>
      <c r="AJ10" s="75" t="s">
        <v>148</v>
      </c>
      <c r="AK10" s="75" t="s">
        <v>148</v>
      </c>
      <c r="AL10" s="75" t="s">
        <v>148</v>
      </c>
      <c r="AM10" s="179" t="s">
        <v>148</v>
      </c>
      <c r="AN10" s="6"/>
      <c r="AO10" s="172" t="str">
        <f>Summary!A51</f>
        <v>Option 5</v>
      </c>
      <c r="AP10" s="172"/>
      <c r="AQ10" s="172"/>
      <c r="AR10" s="67" t="s">
        <v>190</v>
      </c>
      <c r="AS10" s="75" t="s">
        <v>148</v>
      </c>
      <c r="AT10" s="75" t="s">
        <v>148</v>
      </c>
      <c r="AU10" s="75" t="s">
        <v>148</v>
      </c>
      <c r="AV10" s="179" t="s">
        <v>148</v>
      </c>
    </row>
    <row r="11" spans="1:48" ht="39" thickBot="1">
      <c r="A11" s="3"/>
      <c r="B11" s="1"/>
      <c r="C11" s="1"/>
      <c r="D11" s="21" t="s">
        <v>204</v>
      </c>
      <c r="E11" s="39" t="s">
        <v>205</v>
      </c>
      <c r="F11" s="39" t="s">
        <v>206</v>
      </c>
      <c r="G11" s="183" t="s">
        <v>207</v>
      </c>
      <c r="H11" s="21" t="s">
        <v>195</v>
      </c>
      <c r="I11" s="21" t="s">
        <v>204</v>
      </c>
      <c r="J11" s="39" t="s">
        <v>205</v>
      </c>
      <c r="K11" s="39" t="s">
        <v>206</v>
      </c>
      <c r="L11" s="183" t="s">
        <v>207</v>
      </c>
      <c r="M11" s="21" t="s">
        <v>204</v>
      </c>
      <c r="N11" s="39" t="s">
        <v>205</v>
      </c>
      <c r="O11" s="39" t="s">
        <v>206</v>
      </c>
      <c r="P11" s="183" t="s">
        <v>207</v>
      </c>
      <c r="Q11" s="21" t="s">
        <v>195</v>
      </c>
      <c r="R11" s="21" t="s">
        <v>204</v>
      </c>
      <c r="S11" s="39" t="s">
        <v>205</v>
      </c>
      <c r="T11" s="39" t="s">
        <v>206</v>
      </c>
      <c r="U11" s="183" t="s">
        <v>207</v>
      </c>
      <c r="V11" s="21" t="s">
        <v>204</v>
      </c>
      <c r="W11" s="39" t="s">
        <v>205</v>
      </c>
      <c r="X11" s="39" t="s">
        <v>206</v>
      </c>
      <c r="Y11" s="183" t="s">
        <v>207</v>
      </c>
      <c r="Z11" s="21" t="s">
        <v>195</v>
      </c>
      <c r="AA11" s="21" t="s">
        <v>204</v>
      </c>
      <c r="AB11" s="39" t="s">
        <v>205</v>
      </c>
      <c r="AC11" s="39" t="s">
        <v>206</v>
      </c>
      <c r="AD11" s="183" t="s">
        <v>207</v>
      </c>
      <c r="AE11" s="21" t="s">
        <v>204</v>
      </c>
      <c r="AF11" s="39" t="s">
        <v>205</v>
      </c>
      <c r="AG11" s="39" t="s">
        <v>206</v>
      </c>
      <c r="AH11" s="183" t="s">
        <v>207</v>
      </c>
      <c r="AI11" s="21" t="s">
        <v>195</v>
      </c>
      <c r="AJ11" s="21" t="s">
        <v>204</v>
      </c>
      <c r="AK11" s="39" t="s">
        <v>205</v>
      </c>
      <c r="AL11" s="39" t="s">
        <v>206</v>
      </c>
      <c r="AM11" s="183" t="s">
        <v>207</v>
      </c>
      <c r="AN11" s="21" t="s">
        <v>204</v>
      </c>
      <c r="AO11" s="39" t="s">
        <v>205</v>
      </c>
      <c r="AP11" s="39" t="s">
        <v>206</v>
      </c>
      <c r="AQ11" s="183" t="s">
        <v>207</v>
      </c>
      <c r="AR11" s="21" t="s">
        <v>195</v>
      </c>
      <c r="AS11" s="21" t="s">
        <v>204</v>
      </c>
      <c r="AT11" s="39" t="s">
        <v>205</v>
      </c>
      <c r="AU11" s="39" t="s">
        <v>206</v>
      </c>
      <c r="AV11" s="188" t="s">
        <v>207</v>
      </c>
    </row>
    <row r="12" spans="1:48" ht="13.5" thickBot="1">
      <c r="A12" s="32"/>
      <c r="B12" s="33" t="s">
        <v>197</v>
      </c>
      <c r="C12" s="263"/>
      <c r="D12" s="265">
        <f t="shared" ref="D12:AU12" si="0">SUM(D15:D114)</f>
        <v>0</v>
      </c>
      <c r="E12" s="266">
        <f t="shared" si="0"/>
        <v>0</v>
      </c>
      <c r="F12" s="266">
        <f t="shared" si="0"/>
        <v>0</v>
      </c>
      <c r="G12" s="266">
        <f t="shared" si="0"/>
        <v>0</v>
      </c>
      <c r="H12" s="267">
        <f>SUM(H15:H114)</f>
        <v>0</v>
      </c>
      <c r="I12" s="266">
        <f t="shared" si="0"/>
        <v>0</v>
      </c>
      <c r="J12" s="266">
        <f t="shared" si="0"/>
        <v>0</v>
      </c>
      <c r="K12" s="268">
        <f>SUM(K15:K114)</f>
        <v>0</v>
      </c>
      <c r="L12" s="269">
        <f>SUM(L15:L114)</f>
        <v>0</v>
      </c>
      <c r="M12" s="265">
        <f t="shared" si="0"/>
        <v>0</v>
      </c>
      <c r="N12" s="266">
        <f t="shared" si="0"/>
        <v>0</v>
      </c>
      <c r="O12" s="266">
        <f t="shared" si="0"/>
        <v>0</v>
      </c>
      <c r="P12" s="266">
        <f>SUM(P15:P114)</f>
        <v>0</v>
      </c>
      <c r="Q12" s="267">
        <f t="shared" si="0"/>
        <v>0</v>
      </c>
      <c r="R12" s="266">
        <f t="shared" si="0"/>
        <v>0</v>
      </c>
      <c r="S12" s="266">
        <f t="shared" si="0"/>
        <v>0</v>
      </c>
      <c r="T12" s="268">
        <f t="shared" si="0"/>
        <v>0</v>
      </c>
      <c r="U12" s="269">
        <f>SUM(U15:U114)</f>
        <v>0</v>
      </c>
      <c r="V12" s="265">
        <f t="shared" si="0"/>
        <v>0</v>
      </c>
      <c r="W12" s="266">
        <f t="shared" si="0"/>
        <v>0</v>
      </c>
      <c r="X12" s="266">
        <f t="shared" si="0"/>
        <v>0</v>
      </c>
      <c r="Y12" s="266">
        <f t="shared" si="0"/>
        <v>0</v>
      </c>
      <c r="Z12" s="267">
        <f t="shared" si="0"/>
        <v>0</v>
      </c>
      <c r="AA12" s="266">
        <f t="shared" si="0"/>
        <v>0</v>
      </c>
      <c r="AB12" s="266">
        <f t="shared" si="0"/>
        <v>0</v>
      </c>
      <c r="AC12" s="268">
        <f t="shared" si="0"/>
        <v>0</v>
      </c>
      <c r="AD12" s="269">
        <f>SUM(AD15:AD114)</f>
        <v>0</v>
      </c>
      <c r="AE12" s="265">
        <f t="shared" si="0"/>
        <v>0</v>
      </c>
      <c r="AF12" s="266">
        <f t="shared" si="0"/>
        <v>0</v>
      </c>
      <c r="AG12" s="266">
        <f t="shared" si="0"/>
        <v>0</v>
      </c>
      <c r="AH12" s="266">
        <f>SUM(AH15:AH114)</f>
        <v>0</v>
      </c>
      <c r="AI12" s="267">
        <f t="shared" si="0"/>
        <v>0</v>
      </c>
      <c r="AJ12" s="266">
        <f t="shared" si="0"/>
        <v>0</v>
      </c>
      <c r="AK12" s="266">
        <f t="shared" si="0"/>
        <v>0</v>
      </c>
      <c r="AL12" s="268">
        <f t="shared" si="0"/>
        <v>0</v>
      </c>
      <c r="AM12" s="269">
        <f>SUM(AM15:AM114)</f>
        <v>0</v>
      </c>
      <c r="AN12" s="265">
        <f t="shared" si="0"/>
        <v>0</v>
      </c>
      <c r="AO12" s="266">
        <f t="shared" si="0"/>
        <v>0</v>
      </c>
      <c r="AP12" s="266">
        <f t="shared" si="0"/>
        <v>0</v>
      </c>
      <c r="AQ12" s="266">
        <f t="shared" si="0"/>
        <v>0</v>
      </c>
      <c r="AR12" s="267">
        <f t="shared" si="0"/>
        <v>0</v>
      </c>
      <c r="AS12" s="266">
        <f t="shared" si="0"/>
        <v>0</v>
      </c>
      <c r="AT12" s="266">
        <f t="shared" si="0"/>
        <v>0</v>
      </c>
      <c r="AU12" s="268">
        <f t="shared" si="0"/>
        <v>0</v>
      </c>
      <c r="AV12" s="269">
        <f>SUM(AV15:AV114)</f>
        <v>0</v>
      </c>
    </row>
    <row r="13" spans="1:48" ht="25.5" customHeight="1">
      <c r="A13" s="34"/>
      <c r="B13" s="264" t="s">
        <v>208</v>
      </c>
      <c r="C13" s="264" t="s">
        <v>209</v>
      </c>
      <c r="D13" s="270"/>
      <c r="E13" s="245"/>
      <c r="F13" s="245"/>
      <c r="G13" s="245"/>
      <c r="H13" s="270"/>
      <c r="I13" s="245"/>
      <c r="J13" s="245"/>
      <c r="K13" s="245"/>
      <c r="L13" s="246"/>
      <c r="M13" s="245"/>
      <c r="N13" s="245"/>
      <c r="O13" s="245"/>
      <c r="P13" s="245"/>
      <c r="Q13" s="270"/>
      <c r="R13" s="245"/>
      <c r="S13" s="245"/>
      <c r="T13" s="245"/>
      <c r="U13" s="246"/>
      <c r="V13" s="245"/>
      <c r="W13" s="245"/>
      <c r="X13" s="245"/>
      <c r="Y13" s="245"/>
      <c r="Z13" s="270"/>
      <c r="AA13" s="245"/>
      <c r="AB13" s="245"/>
      <c r="AC13" s="245"/>
      <c r="AD13" s="246"/>
      <c r="AE13" s="245"/>
      <c r="AF13" s="245"/>
      <c r="AG13" s="245"/>
      <c r="AH13" s="245"/>
      <c r="AI13" s="270"/>
      <c r="AJ13" s="245"/>
      <c r="AK13" s="245"/>
      <c r="AL13" s="245"/>
      <c r="AM13" s="246"/>
      <c r="AN13" s="245"/>
      <c r="AO13" s="245"/>
      <c r="AP13" s="245"/>
      <c r="AQ13" s="245"/>
      <c r="AR13" s="270"/>
      <c r="AS13" s="245"/>
      <c r="AT13" s="245"/>
      <c r="AU13" s="245"/>
      <c r="AV13" s="246"/>
    </row>
    <row r="14" spans="1:48" ht="13.5" thickBot="1">
      <c r="A14" s="73" t="s">
        <v>199</v>
      </c>
      <c r="B14" s="36" t="s">
        <v>200</v>
      </c>
      <c r="C14" s="36" t="s">
        <v>200</v>
      </c>
      <c r="D14" s="271"/>
      <c r="E14" s="248"/>
      <c r="F14" s="248"/>
      <c r="G14" s="248"/>
      <c r="H14" s="271"/>
      <c r="I14" s="248"/>
      <c r="J14" s="248"/>
      <c r="K14" s="248"/>
      <c r="L14" s="272"/>
      <c r="M14" s="248"/>
      <c r="N14" s="248"/>
      <c r="O14" s="248"/>
      <c r="P14" s="248"/>
      <c r="Q14" s="271"/>
      <c r="R14" s="248"/>
      <c r="S14" s="248"/>
      <c r="T14" s="248"/>
      <c r="U14" s="272"/>
      <c r="V14" s="248"/>
      <c r="W14" s="248"/>
      <c r="X14" s="248"/>
      <c r="Y14" s="248"/>
      <c r="Z14" s="271"/>
      <c r="AA14" s="248"/>
      <c r="AB14" s="248"/>
      <c r="AC14" s="248"/>
      <c r="AD14" s="272"/>
      <c r="AE14" s="248"/>
      <c r="AF14" s="248"/>
      <c r="AG14" s="248"/>
      <c r="AH14" s="248"/>
      <c r="AI14" s="271"/>
      <c r="AJ14" s="248"/>
      <c r="AK14" s="248"/>
      <c r="AL14" s="248"/>
      <c r="AM14" s="272"/>
      <c r="AN14" s="248"/>
      <c r="AO14" s="248"/>
      <c r="AP14" s="248"/>
      <c r="AQ14" s="248"/>
      <c r="AR14" s="271"/>
      <c r="AS14" s="248"/>
      <c r="AT14" s="248"/>
      <c r="AU14" s="248"/>
      <c r="AV14" s="272"/>
    </row>
    <row r="15" spans="1:48">
      <c r="A15" s="31">
        <v>0</v>
      </c>
      <c r="B15" s="38">
        <f>Metadata!C23</f>
        <v>1</v>
      </c>
      <c r="C15" s="38">
        <f>Metadata!G23</f>
        <v>1</v>
      </c>
      <c r="D15" s="273"/>
      <c r="E15" s="274"/>
      <c r="F15" s="274"/>
      <c r="G15" s="275"/>
      <c r="H15" s="276">
        <f t="shared" ref="H15:H46" si="1">SUM(D15:G15)</f>
        <v>0</v>
      </c>
      <c r="I15" s="277">
        <f>D15*$B15</f>
        <v>0</v>
      </c>
      <c r="J15" s="277">
        <f>E15*$B15</f>
        <v>0</v>
      </c>
      <c r="K15" s="278">
        <f>F15*$B15</f>
        <v>0</v>
      </c>
      <c r="L15" s="279">
        <f>G15*$C15</f>
        <v>0</v>
      </c>
      <c r="M15" s="275"/>
      <c r="N15" s="274"/>
      <c r="O15" s="274"/>
      <c r="P15" s="275"/>
      <c r="Q15" s="276">
        <f>SUM(M15:P15)</f>
        <v>0</v>
      </c>
      <c r="R15" s="277">
        <f>M15*$B15</f>
        <v>0</v>
      </c>
      <c r="S15" s="277">
        <f>N15*$B15</f>
        <v>0</v>
      </c>
      <c r="T15" s="278">
        <f>O15*$B15</f>
        <v>0</v>
      </c>
      <c r="U15" s="279">
        <f>P15*$C15</f>
        <v>0</v>
      </c>
      <c r="V15" s="275"/>
      <c r="W15" s="274"/>
      <c r="X15" s="274"/>
      <c r="Y15" s="275"/>
      <c r="Z15" s="276">
        <f>SUM(V15:Y15)</f>
        <v>0</v>
      </c>
      <c r="AA15" s="277">
        <f>V15*$B15</f>
        <v>0</v>
      </c>
      <c r="AB15" s="277">
        <f>W15*$B15</f>
        <v>0</v>
      </c>
      <c r="AC15" s="278">
        <f>X15*$B15</f>
        <v>0</v>
      </c>
      <c r="AD15" s="279">
        <f>Y15*$C15</f>
        <v>0</v>
      </c>
      <c r="AE15" s="275"/>
      <c r="AF15" s="274"/>
      <c r="AG15" s="274"/>
      <c r="AH15" s="275"/>
      <c r="AI15" s="276">
        <f>SUM(AE15:AH15)</f>
        <v>0</v>
      </c>
      <c r="AJ15" s="277">
        <f>AE15*$B15</f>
        <v>0</v>
      </c>
      <c r="AK15" s="277">
        <f>AF15*$B15</f>
        <v>0</v>
      </c>
      <c r="AL15" s="278">
        <f>AG15*$B15</f>
        <v>0</v>
      </c>
      <c r="AM15" s="279">
        <f>AH15*$C15</f>
        <v>0</v>
      </c>
      <c r="AN15" s="275"/>
      <c r="AO15" s="274"/>
      <c r="AP15" s="274"/>
      <c r="AQ15" s="275"/>
      <c r="AR15" s="276">
        <f>SUM(AN15:AQ15)</f>
        <v>0</v>
      </c>
      <c r="AS15" s="277">
        <f>AN15*$B15</f>
        <v>0</v>
      </c>
      <c r="AT15" s="277">
        <f>AO15*$B15</f>
        <v>0</v>
      </c>
      <c r="AU15" s="278">
        <f>AP15*$B15</f>
        <v>0</v>
      </c>
      <c r="AV15" s="279">
        <f>AQ15*$C15</f>
        <v>0</v>
      </c>
    </row>
    <row r="16" spans="1:48">
      <c r="A16" s="31">
        <f>A15+1</f>
        <v>1</v>
      </c>
      <c r="B16" s="38">
        <f>Metadata!C24</f>
        <v>0.96618357487922713</v>
      </c>
      <c r="C16" s="38">
        <f>Metadata!G24</f>
        <v>0.98522167487684742</v>
      </c>
      <c r="D16" s="280"/>
      <c r="E16" s="281"/>
      <c r="F16" s="281"/>
      <c r="G16" s="124"/>
      <c r="H16" s="282">
        <f t="shared" si="1"/>
        <v>0</v>
      </c>
      <c r="I16" s="283">
        <f t="shared" ref="I16:I47" si="2">D16*$B16</f>
        <v>0</v>
      </c>
      <c r="J16" s="283">
        <f t="shared" ref="J16:K79" si="3">E16*$B16</f>
        <v>0</v>
      </c>
      <c r="K16" s="284">
        <f t="shared" si="3"/>
        <v>0</v>
      </c>
      <c r="L16" s="285">
        <f t="shared" ref="L16:L79" si="4">G16*$C16</f>
        <v>0</v>
      </c>
      <c r="M16" s="124"/>
      <c r="N16" s="281"/>
      <c r="O16" s="281"/>
      <c r="P16" s="124"/>
      <c r="Q16" s="282">
        <f t="shared" ref="Q16:Q79" si="5">SUM(M16:P16)</f>
        <v>0</v>
      </c>
      <c r="R16" s="283">
        <f t="shared" ref="R16:T79" si="6">M16*$B16</f>
        <v>0</v>
      </c>
      <c r="S16" s="283">
        <f t="shared" si="6"/>
        <v>0</v>
      </c>
      <c r="T16" s="284">
        <f t="shared" si="6"/>
        <v>0</v>
      </c>
      <c r="U16" s="285">
        <f t="shared" ref="U16:U79" si="7">P16*$C16</f>
        <v>0</v>
      </c>
      <c r="V16" s="124"/>
      <c r="W16" s="281"/>
      <c r="X16" s="281"/>
      <c r="Y16" s="124"/>
      <c r="Z16" s="282">
        <f t="shared" ref="Z16:Z79" si="8">SUM(V16:Y16)</f>
        <v>0</v>
      </c>
      <c r="AA16" s="283">
        <f t="shared" ref="AA16:AC79" si="9">V16*$B16</f>
        <v>0</v>
      </c>
      <c r="AB16" s="283">
        <f t="shared" si="9"/>
        <v>0</v>
      </c>
      <c r="AC16" s="284">
        <f t="shared" si="9"/>
        <v>0</v>
      </c>
      <c r="AD16" s="285">
        <f t="shared" ref="AD16:AD79" si="10">Y16*$C16</f>
        <v>0</v>
      </c>
      <c r="AE16" s="124"/>
      <c r="AF16" s="281"/>
      <c r="AG16" s="281"/>
      <c r="AH16" s="124"/>
      <c r="AI16" s="282">
        <f t="shared" ref="AI16:AI79" si="11">SUM(AE16:AH16)</f>
        <v>0</v>
      </c>
      <c r="AJ16" s="283">
        <f t="shared" ref="AJ16:AL79" si="12">AE16*$B16</f>
        <v>0</v>
      </c>
      <c r="AK16" s="283">
        <f t="shared" si="12"/>
        <v>0</v>
      </c>
      <c r="AL16" s="284">
        <f t="shared" si="12"/>
        <v>0</v>
      </c>
      <c r="AM16" s="285">
        <f t="shared" ref="AM16:AM79" si="13">AH16*$C16</f>
        <v>0</v>
      </c>
      <c r="AN16" s="124"/>
      <c r="AO16" s="281"/>
      <c r="AP16" s="281"/>
      <c r="AQ16" s="124"/>
      <c r="AR16" s="282">
        <f t="shared" ref="AR16:AR79" si="14">SUM(AN16:AQ16)</f>
        <v>0</v>
      </c>
      <c r="AS16" s="283">
        <f t="shared" ref="AS16:AU79" si="15">AN16*$B16</f>
        <v>0</v>
      </c>
      <c r="AT16" s="283">
        <f t="shared" si="15"/>
        <v>0</v>
      </c>
      <c r="AU16" s="284">
        <f t="shared" si="15"/>
        <v>0</v>
      </c>
      <c r="AV16" s="285">
        <f t="shared" ref="AV16:AV79" si="16">AQ16*$C16</f>
        <v>0</v>
      </c>
    </row>
    <row r="17" spans="1:48">
      <c r="A17" s="31">
        <f t="shared" ref="A17:A80" si="17">A16+1</f>
        <v>2</v>
      </c>
      <c r="B17" s="38">
        <f>Metadata!C25</f>
        <v>0.93351070036640305</v>
      </c>
      <c r="C17" s="38">
        <f>Metadata!G25</f>
        <v>0.97066174864714039</v>
      </c>
      <c r="D17" s="280"/>
      <c r="E17" s="281"/>
      <c r="F17" s="281"/>
      <c r="G17" s="124"/>
      <c r="H17" s="282">
        <f t="shared" si="1"/>
        <v>0</v>
      </c>
      <c r="I17" s="283">
        <f t="shared" si="2"/>
        <v>0</v>
      </c>
      <c r="J17" s="283">
        <f t="shared" si="3"/>
        <v>0</v>
      </c>
      <c r="K17" s="284">
        <f t="shared" si="3"/>
        <v>0</v>
      </c>
      <c r="L17" s="285">
        <f t="shared" si="4"/>
        <v>0</v>
      </c>
      <c r="M17" s="124"/>
      <c r="N17" s="281"/>
      <c r="O17" s="281"/>
      <c r="P17" s="124"/>
      <c r="Q17" s="282">
        <f t="shared" si="5"/>
        <v>0</v>
      </c>
      <c r="R17" s="283">
        <f t="shared" si="6"/>
        <v>0</v>
      </c>
      <c r="S17" s="283">
        <f t="shared" si="6"/>
        <v>0</v>
      </c>
      <c r="T17" s="284">
        <f t="shared" si="6"/>
        <v>0</v>
      </c>
      <c r="U17" s="285">
        <f t="shared" si="7"/>
        <v>0</v>
      </c>
      <c r="V17" s="124"/>
      <c r="W17" s="281"/>
      <c r="X17" s="281"/>
      <c r="Y17" s="124"/>
      <c r="Z17" s="282">
        <f t="shared" si="8"/>
        <v>0</v>
      </c>
      <c r="AA17" s="283">
        <f t="shared" si="9"/>
        <v>0</v>
      </c>
      <c r="AB17" s="283">
        <f t="shared" si="9"/>
        <v>0</v>
      </c>
      <c r="AC17" s="284">
        <f t="shared" si="9"/>
        <v>0</v>
      </c>
      <c r="AD17" s="285">
        <f t="shared" si="10"/>
        <v>0</v>
      </c>
      <c r="AE17" s="124"/>
      <c r="AF17" s="281"/>
      <c r="AG17" s="281"/>
      <c r="AH17" s="124"/>
      <c r="AI17" s="282">
        <f t="shared" si="11"/>
        <v>0</v>
      </c>
      <c r="AJ17" s="283">
        <f t="shared" si="12"/>
        <v>0</v>
      </c>
      <c r="AK17" s="283">
        <f t="shared" si="12"/>
        <v>0</v>
      </c>
      <c r="AL17" s="284">
        <f t="shared" si="12"/>
        <v>0</v>
      </c>
      <c r="AM17" s="285">
        <f t="shared" si="13"/>
        <v>0</v>
      </c>
      <c r="AN17" s="124"/>
      <c r="AO17" s="281"/>
      <c r="AP17" s="281"/>
      <c r="AQ17" s="124"/>
      <c r="AR17" s="282">
        <f t="shared" si="14"/>
        <v>0</v>
      </c>
      <c r="AS17" s="283">
        <f t="shared" si="15"/>
        <v>0</v>
      </c>
      <c r="AT17" s="283">
        <f t="shared" si="15"/>
        <v>0</v>
      </c>
      <c r="AU17" s="284">
        <f t="shared" si="15"/>
        <v>0</v>
      </c>
      <c r="AV17" s="285">
        <f t="shared" si="16"/>
        <v>0</v>
      </c>
    </row>
    <row r="18" spans="1:48">
      <c r="A18" s="31">
        <f t="shared" si="17"/>
        <v>3</v>
      </c>
      <c r="B18" s="38">
        <f>Metadata!C26</f>
        <v>0.90194270566802237</v>
      </c>
      <c r="C18" s="38">
        <f>Metadata!G26</f>
        <v>0.95631699374102508</v>
      </c>
      <c r="D18" s="280"/>
      <c r="E18" s="281"/>
      <c r="F18" s="281"/>
      <c r="G18" s="124"/>
      <c r="H18" s="282">
        <f t="shared" si="1"/>
        <v>0</v>
      </c>
      <c r="I18" s="283">
        <f t="shared" si="2"/>
        <v>0</v>
      </c>
      <c r="J18" s="283">
        <f t="shared" si="3"/>
        <v>0</v>
      </c>
      <c r="K18" s="284">
        <f t="shared" si="3"/>
        <v>0</v>
      </c>
      <c r="L18" s="285">
        <f t="shared" si="4"/>
        <v>0</v>
      </c>
      <c r="M18" s="124"/>
      <c r="N18" s="281"/>
      <c r="O18" s="281"/>
      <c r="P18" s="124"/>
      <c r="Q18" s="282">
        <f t="shared" si="5"/>
        <v>0</v>
      </c>
      <c r="R18" s="283">
        <f t="shared" si="6"/>
        <v>0</v>
      </c>
      <c r="S18" s="283">
        <f t="shared" si="6"/>
        <v>0</v>
      </c>
      <c r="T18" s="284">
        <f t="shared" si="6"/>
        <v>0</v>
      </c>
      <c r="U18" s="285">
        <f t="shared" si="7"/>
        <v>0</v>
      </c>
      <c r="V18" s="124"/>
      <c r="W18" s="281"/>
      <c r="X18" s="281"/>
      <c r="Y18" s="124"/>
      <c r="Z18" s="282">
        <f t="shared" si="8"/>
        <v>0</v>
      </c>
      <c r="AA18" s="283">
        <f t="shared" si="9"/>
        <v>0</v>
      </c>
      <c r="AB18" s="283">
        <f t="shared" si="9"/>
        <v>0</v>
      </c>
      <c r="AC18" s="284">
        <f t="shared" si="9"/>
        <v>0</v>
      </c>
      <c r="AD18" s="285">
        <f t="shared" si="10"/>
        <v>0</v>
      </c>
      <c r="AE18" s="124"/>
      <c r="AF18" s="281"/>
      <c r="AG18" s="281"/>
      <c r="AH18" s="124"/>
      <c r="AI18" s="282">
        <f t="shared" si="11"/>
        <v>0</v>
      </c>
      <c r="AJ18" s="283">
        <f t="shared" si="12"/>
        <v>0</v>
      </c>
      <c r="AK18" s="283">
        <f t="shared" si="12"/>
        <v>0</v>
      </c>
      <c r="AL18" s="284">
        <f t="shared" si="12"/>
        <v>0</v>
      </c>
      <c r="AM18" s="285">
        <f t="shared" si="13"/>
        <v>0</v>
      </c>
      <c r="AN18" s="124"/>
      <c r="AO18" s="281"/>
      <c r="AP18" s="281"/>
      <c r="AQ18" s="124"/>
      <c r="AR18" s="282">
        <f t="shared" si="14"/>
        <v>0</v>
      </c>
      <c r="AS18" s="283">
        <f t="shared" si="15"/>
        <v>0</v>
      </c>
      <c r="AT18" s="283">
        <f t="shared" si="15"/>
        <v>0</v>
      </c>
      <c r="AU18" s="284">
        <f t="shared" si="15"/>
        <v>0</v>
      </c>
      <c r="AV18" s="285">
        <f t="shared" si="16"/>
        <v>0</v>
      </c>
    </row>
    <row r="19" spans="1:48">
      <c r="A19" s="31">
        <f t="shared" si="17"/>
        <v>4</v>
      </c>
      <c r="B19" s="38">
        <f>Metadata!C27</f>
        <v>0.87144222769857238</v>
      </c>
      <c r="C19" s="38">
        <f>Metadata!G27</f>
        <v>0.94218423028672427</v>
      </c>
      <c r="D19" s="280"/>
      <c r="E19" s="281"/>
      <c r="F19" s="281"/>
      <c r="G19" s="124"/>
      <c r="H19" s="282">
        <f t="shared" si="1"/>
        <v>0</v>
      </c>
      <c r="I19" s="283">
        <f t="shared" si="2"/>
        <v>0</v>
      </c>
      <c r="J19" s="283">
        <f t="shared" si="3"/>
        <v>0</v>
      </c>
      <c r="K19" s="284">
        <f t="shared" si="3"/>
        <v>0</v>
      </c>
      <c r="L19" s="285">
        <f t="shared" si="4"/>
        <v>0</v>
      </c>
      <c r="M19" s="124"/>
      <c r="N19" s="281"/>
      <c r="O19" s="281"/>
      <c r="P19" s="124"/>
      <c r="Q19" s="282">
        <f t="shared" si="5"/>
        <v>0</v>
      </c>
      <c r="R19" s="283">
        <f t="shared" si="6"/>
        <v>0</v>
      </c>
      <c r="S19" s="283">
        <f t="shared" si="6"/>
        <v>0</v>
      </c>
      <c r="T19" s="284">
        <f t="shared" si="6"/>
        <v>0</v>
      </c>
      <c r="U19" s="285">
        <f t="shared" si="7"/>
        <v>0</v>
      </c>
      <c r="V19" s="124"/>
      <c r="W19" s="281"/>
      <c r="X19" s="281"/>
      <c r="Y19" s="124"/>
      <c r="Z19" s="282">
        <f t="shared" si="8"/>
        <v>0</v>
      </c>
      <c r="AA19" s="283">
        <f t="shared" si="9"/>
        <v>0</v>
      </c>
      <c r="AB19" s="283">
        <f t="shared" si="9"/>
        <v>0</v>
      </c>
      <c r="AC19" s="284">
        <f t="shared" si="9"/>
        <v>0</v>
      </c>
      <c r="AD19" s="285">
        <f t="shared" si="10"/>
        <v>0</v>
      </c>
      <c r="AE19" s="124"/>
      <c r="AF19" s="281"/>
      <c r="AG19" s="281"/>
      <c r="AH19" s="124"/>
      <c r="AI19" s="282">
        <f t="shared" si="11"/>
        <v>0</v>
      </c>
      <c r="AJ19" s="283">
        <f t="shared" si="12"/>
        <v>0</v>
      </c>
      <c r="AK19" s="283">
        <f t="shared" si="12"/>
        <v>0</v>
      </c>
      <c r="AL19" s="284">
        <f t="shared" si="12"/>
        <v>0</v>
      </c>
      <c r="AM19" s="285">
        <f t="shared" si="13"/>
        <v>0</v>
      </c>
      <c r="AN19" s="124"/>
      <c r="AO19" s="281"/>
      <c r="AP19" s="281"/>
      <c r="AQ19" s="124"/>
      <c r="AR19" s="282">
        <f t="shared" si="14"/>
        <v>0</v>
      </c>
      <c r="AS19" s="283">
        <f t="shared" si="15"/>
        <v>0</v>
      </c>
      <c r="AT19" s="283">
        <f t="shared" si="15"/>
        <v>0</v>
      </c>
      <c r="AU19" s="284">
        <f t="shared" si="15"/>
        <v>0</v>
      </c>
      <c r="AV19" s="285">
        <f t="shared" si="16"/>
        <v>0</v>
      </c>
    </row>
    <row r="20" spans="1:48">
      <c r="A20" s="31">
        <f t="shared" si="17"/>
        <v>5</v>
      </c>
      <c r="B20" s="38">
        <f>Metadata!C28</f>
        <v>0.84197316685852408</v>
      </c>
      <c r="C20" s="38">
        <f>Metadata!G28</f>
        <v>0.92826032540563974</v>
      </c>
      <c r="D20" s="280"/>
      <c r="E20" s="281"/>
      <c r="F20" s="281"/>
      <c r="G20" s="124"/>
      <c r="H20" s="282">
        <f t="shared" si="1"/>
        <v>0</v>
      </c>
      <c r="I20" s="283">
        <f t="shared" si="2"/>
        <v>0</v>
      </c>
      <c r="J20" s="283">
        <f t="shared" si="3"/>
        <v>0</v>
      </c>
      <c r="K20" s="284">
        <f t="shared" si="3"/>
        <v>0</v>
      </c>
      <c r="L20" s="285">
        <f t="shared" si="4"/>
        <v>0</v>
      </c>
      <c r="M20" s="124"/>
      <c r="N20" s="281"/>
      <c r="O20" s="281"/>
      <c r="P20" s="124"/>
      <c r="Q20" s="282">
        <f t="shared" si="5"/>
        <v>0</v>
      </c>
      <c r="R20" s="283">
        <f t="shared" si="6"/>
        <v>0</v>
      </c>
      <c r="S20" s="283">
        <f t="shared" si="6"/>
        <v>0</v>
      </c>
      <c r="T20" s="284">
        <f t="shared" si="6"/>
        <v>0</v>
      </c>
      <c r="U20" s="285">
        <f t="shared" si="7"/>
        <v>0</v>
      </c>
      <c r="V20" s="124"/>
      <c r="W20" s="281"/>
      <c r="X20" s="281"/>
      <c r="Y20" s="124"/>
      <c r="Z20" s="282">
        <f t="shared" si="8"/>
        <v>0</v>
      </c>
      <c r="AA20" s="283">
        <f t="shared" si="9"/>
        <v>0</v>
      </c>
      <c r="AB20" s="283">
        <f t="shared" si="9"/>
        <v>0</v>
      </c>
      <c r="AC20" s="284">
        <f t="shared" si="9"/>
        <v>0</v>
      </c>
      <c r="AD20" s="285">
        <f t="shared" si="10"/>
        <v>0</v>
      </c>
      <c r="AE20" s="124"/>
      <c r="AF20" s="281"/>
      <c r="AG20" s="281"/>
      <c r="AH20" s="124"/>
      <c r="AI20" s="282">
        <f t="shared" si="11"/>
        <v>0</v>
      </c>
      <c r="AJ20" s="283">
        <f t="shared" si="12"/>
        <v>0</v>
      </c>
      <c r="AK20" s="283">
        <f t="shared" si="12"/>
        <v>0</v>
      </c>
      <c r="AL20" s="284">
        <f t="shared" si="12"/>
        <v>0</v>
      </c>
      <c r="AM20" s="285">
        <f t="shared" si="13"/>
        <v>0</v>
      </c>
      <c r="AN20" s="124"/>
      <c r="AO20" s="281"/>
      <c r="AP20" s="281"/>
      <c r="AQ20" s="124"/>
      <c r="AR20" s="282">
        <f t="shared" si="14"/>
        <v>0</v>
      </c>
      <c r="AS20" s="283">
        <f t="shared" si="15"/>
        <v>0</v>
      </c>
      <c r="AT20" s="283">
        <f t="shared" si="15"/>
        <v>0</v>
      </c>
      <c r="AU20" s="284">
        <f t="shared" si="15"/>
        <v>0</v>
      </c>
      <c r="AV20" s="285">
        <f t="shared" si="16"/>
        <v>0</v>
      </c>
    </row>
    <row r="21" spans="1:48">
      <c r="A21" s="31">
        <f t="shared" si="17"/>
        <v>6</v>
      </c>
      <c r="B21" s="38">
        <f>Metadata!C29</f>
        <v>0.81350064430775282</v>
      </c>
      <c r="C21" s="38">
        <f>Metadata!G29</f>
        <v>0.91454219251787172</v>
      </c>
      <c r="D21" s="280"/>
      <c r="E21" s="281"/>
      <c r="F21" s="281"/>
      <c r="G21" s="124"/>
      <c r="H21" s="282">
        <f t="shared" si="1"/>
        <v>0</v>
      </c>
      <c r="I21" s="283">
        <f t="shared" si="2"/>
        <v>0</v>
      </c>
      <c r="J21" s="283">
        <f t="shared" si="3"/>
        <v>0</v>
      </c>
      <c r="K21" s="284">
        <f t="shared" si="3"/>
        <v>0</v>
      </c>
      <c r="L21" s="285">
        <f t="shared" si="4"/>
        <v>0</v>
      </c>
      <c r="M21" s="124"/>
      <c r="N21" s="281"/>
      <c r="O21" s="281"/>
      <c r="P21" s="124"/>
      <c r="Q21" s="282">
        <f t="shared" si="5"/>
        <v>0</v>
      </c>
      <c r="R21" s="283">
        <f t="shared" si="6"/>
        <v>0</v>
      </c>
      <c r="S21" s="283">
        <f t="shared" si="6"/>
        <v>0</v>
      </c>
      <c r="T21" s="284">
        <f t="shared" si="6"/>
        <v>0</v>
      </c>
      <c r="U21" s="285">
        <f t="shared" si="7"/>
        <v>0</v>
      </c>
      <c r="V21" s="124"/>
      <c r="W21" s="281"/>
      <c r="X21" s="281"/>
      <c r="Y21" s="124"/>
      <c r="Z21" s="282">
        <f t="shared" si="8"/>
        <v>0</v>
      </c>
      <c r="AA21" s="283">
        <f t="shared" si="9"/>
        <v>0</v>
      </c>
      <c r="AB21" s="283">
        <f t="shared" si="9"/>
        <v>0</v>
      </c>
      <c r="AC21" s="284">
        <f t="shared" si="9"/>
        <v>0</v>
      </c>
      <c r="AD21" s="285">
        <f t="shared" si="10"/>
        <v>0</v>
      </c>
      <c r="AE21" s="124"/>
      <c r="AF21" s="281"/>
      <c r="AG21" s="281"/>
      <c r="AH21" s="124"/>
      <c r="AI21" s="282">
        <f t="shared" si="11"/>
        <v>0</v>
      </c>
      <c r="AJ21" s="283">
        <f t="shared" si="12"/>
        <v>0</v>
      </c>
      <c r="AK21" s="283">
        <f t="shared" si="12"/>
        <v>0</v>
      </c>
      <c r="AL21" s="284">
        <f t="shared" si="12"/>
        <v>0</v>
      </c>
      <c r="AM21" s="285">
        <f t="shared" si="13"/>
        <v>0</v>
      </c>
      <c r="AN21" s="124"/>
      <c r="AO21" s="281"/>
      <c r="AP21" s="281"/>
      <c r="AQ21" s="124"/>
      <c r="AR21" s="282">
        <f t="shared" si="14"/>
        <v>0</v>
      </c>
      <c r="AS21" s="283">
        <f t="shared" si="15"/>
        <v>0</v>
      </c>
      <c r="AT21" s="283">
        <f t="shared" si="15"/>
        <v>0</v>
      </c>
      <c r="AU21" s="284">
        <f t="shared" si="15"/>
        <v>0</v>
      </c>
      <c r="AV21" s="285">
        <f t="shared" si="16"/>
        <v>0</v>
      </c>
    </row>
    <row r="22" spans="1:48">
      <c r="A22" s="31">
        <f t="shared" si="17"/>
        <v>7</v>
      </c>
      <c r="B22" s="38">
        <f>Metadata!C30</f>
        <v>0.78599096068381924</v>
      </c>
      <c r="C22" s="38">
        <f>Metadata!G30</f>
        <v>0.90102679065800173</v>
      </c>
      <c r="D22" s="280"/>
      <c r="E22" s="281"/>
      <c r="F22" s="281"/>
      <c r="G22" s="124"/>
      <c r="H22" s="282">
        <f t="shared" si="1"/>
        <v>0</v>
      </c>
      <c r="I22" s="283">
        <f t="shared" si="2"/>
        <v>0</v>
      </c>
      <c r="J22" s="283">
        <f t="shared" si="3"/>
        <v>0</v>
      </c>
      <c r="K22" s="284">
        <f t="shared" si="3"/>
        <v>0</v>
      </c>
      <c r="L22" s="285">
        <f t="shared" si="4"/>
        <v>0</v>
      </c>
      <c r="M22" s="124"/>
      <c r="N22" s="281"/>
      <c r="O22" s="281"/>
      <c r="P22" s="124"/>
      <c r="Q22" s="282">
        <f t="shared" si="5"/>
        <v>0</v>
      </c>
      <c r="R22" s="283">
        <f t="shared" si="6"/>
        <v>0</v>
      </c>
      <c r="S22" s="283">
        <f t="shared" si="6"/>
        <v>0</v>
      </c>
      <c r="T22" s="284">
        <f t="shared" si="6"/>
        <v>0</v>
      </c>
      <c r="U22" s="285">
        <f t="shared" si="7"/>
        <v>0</v>
      </c>
      <c r="V22" s="124"/>
      <c r="W22" s="281"/>
      <c r="X22" s="281"/>
      <c r="Y22" s="124"/>
      <c r="Z22" s="282">
        <f t="shared" si="8"/>
        <v>0</v>
      </c>
      <c r="AA22" s="283">
        <f t="shared" si="9"/>
        <v>0</v>
      </c>
      <c r="AB22" s="283">
        <f t="shared" si="9"/>
        <v>0</v>
      </c>
      <c r="AC22" s="284">
        <f t="shared" si="9"/>
        <v>0</v>
      </c>
      <c r="AD22" s="285">
        <f t="shared" si="10"/>
        <v>0</v>
      </c>
      <c r="AE22" s="124"/>
      <c r="AF22" s="281"/>
      <c r="AG22" s="281"/>
      <c r="AH22" s="124"/>
      <c r="AI22" s="282">
        <f t="shared" si="11"/>
        <v>0</v>
      </c>
      <c r="AJ22" s="283">
        <f t="shared" si="12"/>
        <v>0</v>
      </c>
      <c r="AK22" s="283">
        <f t="shared" si="12"/>
        <v>0</v>
      </c>
      <c r="AL22" s="284">
        <f t="shared" si="12"/>
        <v>0</v>
      </c>
      <c r="AM22" s="285">
        <f t="shared" si="13"/>
        <v>0</v>
      </c>
      <c r="AN22" s="124"/>
      <c r="AO22" s="281"/>
      <c r="AP22" s="281"/>
      <c r="AQ22" s="124"/>
      <c r="AR22" s="282">
        <f t="shared" si="14"/>
        <v>0</v>
      </c>
      <c r="AS22" s="283">
        <f t="shared" si="15"/>
        <v>0</v>
      </c>
      <c r="AT22" s="283">
        <f t="shared" si="15"/>
        <v>0</v>
      </c>
      <c r="AU22" s="284">
        <f t="shared" si="15"/>
        <v>0</v>
      </c>
      <c r="AV22" s="285">
        <f t="shared" si="16"/>
        <v>0</v>
      </c>
    </row>
    <row r="23" spans="1:48">
      <c r="A23" s="31">
        <f t="shared" si="17"/>
        <v>8</v>
      </c>
      <c r="B23" s="38">
        <f>Metadata!C31</f>
        <v>0.75941155621625056</v>
      </c>
      <c r="C23" s="38">
        <f>Metadata!G31</f>
        <v>0.88771112380098705</v>
      </c>
      <c r="D23" s="280"/>
      <c r="E23" s="281"/>
      <c r="F23" s="281"/>
      <c r="G23" s="124"/>
      <c r="H23" s="282">
        <f t="shared" si="1"/>
        <v>0</v>
      </c>
      <c r="I23" s="283">
        <f t="shared" si="2"/>
        <v>0</v>
      </c>
      <c r="J23" s="283">
        <f t="shared" si="3"/>
        <v>0</v>
      </c>
      <c r="K23" s="284">
        <f t="shared" si="3"/>
        <v>0</v>
      </c>
      <c r="L23" s="285">
        <f t="shared" si="4"/>
        <v>0</v>
      </c>
      <c r="M23" s="124"/>
      <c r="N23" s="281"/>
      <c r="O23" s="281"/>
      <c r="P23" s="124"/>
      <c r="Q23" s="282">
        <f t="shared" si="5"/>
        <v>0</v>
      </c>
      <c r="R23" s="283">
        <f t="shared" si="6"/>
        <v>0</v>
      </c>
      <c r="S23" s="283">
        <f t="shared" si="6"/>
        <v>0</v>
      </c>
      <c r="T23" s="284">
        <f t="shared" si="6"/>
        <v>0</v>
      </c>
      <c r="U23" s="285">
        <f t="shared" si="7"/>
        <v>0</v>
      </c>
      <c r="V23" s="124"/>
      <c r="W23" s="281"/>
      <c r="X23" s="281"/>
      <c r="Y23" s="124"/>
      <c r="Z23" s="282">
        <f t="shared" si="8"/>
        <v>0</v>
      </c>
      <c r="AA23" s="283">
        <f t="shared" si="9"/>
        <v>0</v>
      </c>
      <c r="AB23" s="283">
        <f t="shared" si="9"/>
        <v>0</v>
      </c>
      <c r="AC23" s="284">
        <f t="shared" si="9"/>
        <v>0</v>
      </c>
      <c r="AD23" s="285">
        <f t="shared" si="10"/>
        <v>0</v>
      </c>
      <c r="AE23" s="124"/>
      <c r="AF23" s="281"/>
      <c r="AG23" s="281"/>
      <c r="AH23" s="124"/>
      <c r="AI23" s="282">
        <f t="shared" si="11"/>
        <v>0</v>
      </c>
      <c r="AJ23" s="283">
        <f t="shared" si="12"/>
        <v>0</v>
      </c>
      <c r="AK23" s="283">
        <f t="shared" si="12"/>
        <v>0</v>
      </c>
      <c r="AL23" s="284">
        <f t="shared" si="12"/>
        <v>0</v>
      </c>
      <c r="AM23" s="285">
        <f t="shared" si="13"/>
        <v>0</v>
      </c>
      <c r="AN23" s="124"/>
      <c r="AO23" s="281"/>
      <c r="AP23" s="281"/>
      <c r="AQ23" s="124"/>
      <c r="AR23" s="282">
        <f t="shared" si="14"/>
        <v>0</v>
      </c>
      <c r="AS23" s="283">
        <f t="shared" si="15"/>
        <v>0</v>
      </c>
      <c r="AT23" s="283">
        <f t="shared" si="15"/>
        <v>0</v>
      </c>
      <c r="AU23" s="284">
        <f t="shared" si="15"/>
        <v>0</v>
      </c>
      <c r="AV23" s="285">
        <f t="shared" si="16"/>
        <v>0</v>
      </c>
    </row>
    <row r="24" spans="1:48">
      <c r="A24" s="31">
        <f t="shared" si="17"/>
        <v>9</v>
      </c>
      <c r="B24" s="38">
        <f>Metadata!C32</f>
        <v>0.73373097218961414</v>
      </c>
      <c r="C24" s="38">
        <f>Metadata!G32</f>
        <v>0.87459224019801685</v>
      </c>
      <c r="D24" s="280"/>
      <c r="E24" s="281"/>
      <c r="F24" s="281"/>
      <c r="G24" s="124"/>
      <c r="H24" s="282">
        <f t="shared" si="1"/>
        <v>0</v>
      </c>
      <c r="I24" s="283">
        <f t="shared" si="2"/>
        <v>0</v>
      </c>
      <c r="J24" s="283">
        <f t="shared" si="3"/>
        <v>0</v>
      </c>
      <c r="K24" s="284">
        <f t="shared" si="3"/>
        <v>0</v>
      </c>
      <c r="L24" s="285">
        <f t="shared" si="4"/>
        <v>0</v>
      </c>
      <c r="M24" s="124"/>
      <c r="N24" s="281"/>
      <c r="O24" s="281"/>
      <c r="P24" s="124"/>
      <c r="Q24" s="282">
        <f t="shared" si="5"/>
        <v>0</v>
      </c>
      <c r="R24" s="283">
        <f t="shared" si="6"/>
        <v>0</v>
      </c>
      <c r="S24" s="283">
        <f t="shared" si="6"/>
        <v>0</v>
      </c>
      <c r="T24" s="284">
        <f t="shared" si="6"/>
        <v>0</v>
      </c>
      <c r="U24" s="285">
        <f t="shared" si="7"/>
        <v>0</v>
      </c>
      <c r="V24" s="124"/>
      <c r="W24" s="281"/>
      <c r="X24" s="281"/>
      <c r="Y24" s="124"/>
      <c r="Z24" s="282">
        <f t="shared" si="8"/>
        <v>0</v>
      </c>
      <c r="AA24" s="283">
        <f t="shared" si="9"/>
        <v>0</v>
      </c>
      <c r="AB24" s="283">
        <f t="shared" si="9"/>
        <v>0</v>
      </c>
      <c r="AC24" s="284">
        <f t="shared" si="9"/>
        <v>0</v>
      </c>
      <c r="AD24" s="285">
        <f t="shared" si="10"/>
        <v>0</v>
      </c>
      <c r="AE24" s="124"/>
      <c r="AF24" s="281"/>
      <c r="AG24" s="281"/>
      <c r="AH24" s="124"/>
      <c r="AI24" s="282">
        <f t="shared" si="11"/>
        <v>0</v>
      </c>
      <c r="AJ24" s="283">
        <f t="shared" si="12"/>
        <v>0</v>
      </c>
      <c r="AK24" s="283">
        <f t="shared" si="12"/>
        <v>0</v>
      </c>
      <c r="AL24" s="284">
        <f t="shared" si="12"/>
        <v>0</v>
      </c>
      <c r="AM24" s="285">
        <f t="shared" si="13"/>
        <v>0</v>
      </c>
      <c r="AN24" s="124"/>
      <c r="AO24" s="281"/>
      <c r="AP24" s="281"/>
      <c r="AQ24" s="124"/>
      <c r="AR24" s="282">
        <f t="shared" si="14"/>
        <v>0</v>
      </c>
      <c r="AS24" s="283">
        <f t="shared" si="15"/>
        <v>0</v>
      </c>
      <c r="AT24" s="283">
        <f t="shared" si="15"/>
        <v>0</v>
      </c>
      <c r="AU24" s="284">
        <f t="shared" si="15"/>
        <v>0</v>
      </c>
      <c r="AV24" s="285">
        <f t="shared" si="16"/>
        <v>0</v>
      </c>
    </row>
    <row r="25" spans="1:48">
      <c r="A25" s="31">
        <f t="shared" si="17"/>
        <v>10</v>
      </c>
      <c r="B25" s="38">
        <f>Metadata!C33</f>
        <v>0.70891881370977217</v>
      </c>
      <c r="C25" s="38">
        <f>Metadata!G33</f>
        <v>0.86166723172218418</v>
      </c>
      <c r="D25" s="280"/>
      <c r="E25" s="281"/>
      <c r="F25" s="281"/>
      <c r="G25" s="124"/>
      <c r="H25" s="282">
        <f t="shared" si="1"/>
        <v>0</v>
      </c>
      <c r="I25" s="283">
        <f t="shared" si="2"/>
        <v>0</v>
      </c>
      <c r="J25" s="283">
        <f t="shared" si="3"/>
        <v>0</v>
      </c>
      <c r="K25" s="284">
        <f t="shared" si="3"/>
        <v>0</v>
      </c>
      <c r="L25" s="285">
        <f t="shared" si="4"/>
        <v>0</v>
      </c>
      <c r="M25" s="124"/>
      <c r="N25" s="281"/>
      <c r="O25" s="281"/>
      <c r="P25" s="124"/>
      <c r="Q25" s="282">
        <f t="shared" si="5"/>
        <v>0</v>
      </c>
      <c r="R25" s="283">
        <f t="shared" si="6"/>
        <v>0</v>
      </c>
      <c r="S25" s="283">
        <f t="shared" si="6"/>
        <v>0</v>
      </c>
      <c r="T25" s="284">
        <f t="shared" si="6"/>
        <v>0</v>
      </c>
      <c r="U25" s="285">
        <f t="shared" si="7"/>
        <v>0</v>
      </c>
      <c r="V25" s="124"/>
      <c r="W25" s="281"/>
      <c r="X25" s="281"/>
      <c r="Y25" s="124"/>
      <c r="Z25" s="282">
        <f t="shared" si="8"/>
        <v>0</v>
      </c>
      <c r="AA25" s="283">
        <f t="shared" si="9"/>
        <v>0</v>
      </c>
      <c r="AB25" s="283">
        <f t="shared" si="9"/>
        <v>0</v>
      </c>
      <c r="AC25" s="284">
        <f t="shared" si="9"/>
        <v>0</v>
      </c>
      <c r="AD25" s="285">
        <f t="shared" si="10"/>
        <v>0</v>
      </c>
      <c r="AE25" s="124"/>
      <c r="AF25" s="281"/>
      <c r="AG25" s="281"/>
      <c r="AH25" s="124"/>
      <c r="AI25" s="282">
        <f t="shared" si="11"/>
        <v>0</v>
      </c>
      <c r="AJ25" s="283">
        <f t="shared" si="12"/>
        <v>0</v>
      </c>
      <c r="AK25" s="283">
        <f t="shared" si="12"/>
        <v>0</v>
      </c>
      <c r="AL25" s="284">
        <f t="shared" si="12"/>
        <v>0</v>
      </c>
      <c r="AM25" s="285">
        <f t="shared" si="13"/>
        <v>0</v>
      </c>
      <c r="AN25" s="124"/>
      <c r="AO25" s="281"/>
      <c r="AP25" s="281"/>
      <c r="AQ25" s="124"/>
      <c r="AR25" s="282">
        <f t="shared" si="14"/>
        <v>0</v>
      </c>
      <c r="AS25" s="283">
        <f t="shared" si="15"/>
        <v>0</v>
      </c>
      <c r="AT25" s="283">
        <f t="shared" si="15"/>
        <v>0</v>
      </c>
      <c r="AU25" s="284">
        <f t="shared" si="15"/>
        <v>0</v>
      </c>
      <c r="AV25" s="285">
        <f t="shared" si="16"/>
        <v>0</v>
      </c>
    </row>
    <row r="26" spans="1:48">
      <c r="A26" s="31">
        <f t="shared" si="17"/>
        <v>11</v>
      </c>
      <c r="B26" s="38">
        <f>Metadata!C34</f>
        <v>0.68494571372924851</v>
      </c>
      <c r="C26" s="38">
        <f>Metadata!G34</f>
        <v>0.84893323322382686</v>
      </c>
      <c r="D26" s="280"/>
      <c r="E26" s="281"/>
      <c r="F26" s="281"/>
      <c r="G26" s="124"/>
      <c r="H26" s="282">
        <f t="shared" si="1"/>
        <v>0</v>
      </c>
      <c r="I26" s="283">
        <f t="shared" si="2"/>
        <v>0</v>
      </c>
      <c r="J26" s="283">
        <f t="shared" si="3"/>
        <v>0</v>
      </c>
      <c r="K26" s="284">
        <f t="shared" si="3"/>
        <v>0</v>
      </c>
      <c r="L26" s="285">
        <f t="shared" si="4"/>
        <v>0</v>
      </c>
      <c r="M26" s="124"/>
      <c r="N26" s="281"/>
      <c r="O26" s="281"/>
      <c r="P26" s="124"/>
      <c r="Q26" s="282">
        <f t="shared" si="5"/>
        <v>0</v>
      </c>
      <c r="R26" s="283">
        <f t="shared" si="6"/>
        <v>0</v>
      </c>
      <c r="S26" s="283">
        <f t="shared" si="6"/>
        <v>0</v>
      </c>
      <c r="T26" s="284">
        <f t="shared" si="6"/>
        <v>0</v>
      </c>
      <c r="U26" s="285">
        <f t="shared" si="7"/>
        <v>0</v>
      </c>
      <c r="V26" s="124"/>
      <c r="W26" s="281"/>
      <c r="X26" s="281"/>
      <c r="Y26" s="124"/>
      <c r="Z26" s="282">
        <f t="shared" si="8"/>
        <v>0</v>
      </c>
      <c r="AA26" s="283">
        <f t="shared" si="9"/>
        <v>0</v>
      </c>
      <c r="AB26" s="283">
        <f t="shared" si="9"/>
        <v>0</v>
      </c>
      <c r="AC26" s="284">
        <f t="shared" si="9"/>
        <v>0</v>
      </c>
      <c r="AD26" s="285">
        <f t="shared" si="10"/>
        <v>0</v>
      </c>
      <c r="AE26" s="124"/>
      <c r="AF26" s="281"/>
      <c r="AG26" s="281"/>
      <c r="AH26" s="124"/>
      <c r="AI26" s="282">
        <f t="shared" si="11"/>
        <v>0</v>
      </c>
      <c r="AJ26" s="283">
        <f t="shared" si="12"/>
        <v>0</v>
      </c>
      <c r="AK26" s="283">
        <f t="shared" si="12"/>
        <v>0</v>
      </c>
      <c r="AL26" s="284">
        <f t="shared" si="12"/>
        <v>0</v>
      </c>
      <c r="AM26" s="285">
        <f t="shared" si="13"/>
        <v>0</v>
      </c>
      <c r="AN26" s="124"/>
      <c r="AO26" s="281"/>
      <c r="AP26" s="281"/>
      <c r="AQ26" s="124"/>
      <c r="AR26" s="282">
        <f t="shared" si="14"/>
        <v>0</v>
      </c>
      <c r="AS26" s="283">
        <f t="shared" si="15"/>
        <v>0</v>
      </c>
      <c r="AT26" s="283">
        <f t="shared" si="15"/>
        <v>0</v>
      </c>
      <c r="AU26" s="284">
        <f t="shared" si="15"/>
        <v>0</v>
      </c>
      <c r="AV26" s="285">
        <f t="shared" si="16"/>
        <v>0</v>
      </c>
    </row>
    <row r="27" spans="1:48">
      <c r="A27" s="31">
        <f t="shared" si="17"/>
        <v>12</v>
      </c>
      <c r="B27" s="38">
        <f>Metadata!C35</f>
        <v>0.66178329828912907</v>
      </c>
      <c r="C27" s="38">
        <f>Metadata!G35</f>
        <v>0.83638742189539594</v>
      </c>
      <c r="D27" s="280"/>
      <c r="E27" s="281"/>
      <c r="F27" s="281"/>
      <c r="G27" s="124"/>
      <c r="H27" s="282">
        <f t="shared" si="1"/>
        <v>0</v>
      </c>
      <c r="I27" s="283">
        <f t="shared" si="2"/>
        <v>0</v>
      </c>
      <c r="J27" s="283">
        <f t="shared" si="3"/>
        <v>0</v>
      </c>
      <c r="K27" s="284">
        <f t="shared" si="3"/>
        <v>0</v>
      </c>
      <c r="L27" s="285">
        <f t="shared" si="4"/>
        <v>0</v>
      </c>
      <c r="M27" s="124"/>
      <c r="N27" s="281"/>
      <c r="O27" s="281"/>
      <c r="P27" s="124"/>
      <c r="Q27" s="282">
        <f t="shared" si="5"/>
        <v>0</v>
      </c>
      <c r="R27" s="283">
        <f t="shared" si="6"/>
        <v>0</v>
      </c>
      <c r="S27" s="283">
        <f t="shared" si="6"/>
        <v>0</v>
      </c>
      <c r="T27" s="284">
        <f t="shared" si="6"/>
        <v>0</v>
      </c>
      <c r="U27" s="285">
        <f t="shared" si="7"/>
        <v>0</v>
      </c>
      <c r="V27" s="124"/>
      <c r="W27" s="281"/>
      <c r="X27" s="281"/>
      <c r="Y27" s="124"/>
      <c r="Z27" s="282">
        <f t="shared" si="8"/>
        <v>0</v>
      </c>
      <c r="AA27" s="283">
        <f t="shared" si="9"/>
        <v>0</v>
      </c>
      <c r="AB27" s="283">
        <f t="shared" si="9"/>
        <v>0</v>
      </c>
      <c r="AC27" s="284">
        <f t="shared" si="9"/>
        <v>0</v>
      </c>
      <c r="AD27" s="285">
        <f t="shared" si="10"/>
        <v>0</v>
      </c>
      <c r="AE27" s="124"/>
      <c r="AF27" s="281"/>
      <c r="AG27" s="281"/>
      <c r="AH27" s="124"/>
      <c r="AI27" s="282">
        <f t="shared" si="11"/>
        <v>0</v>
      </c>
      <c r="AJ27" s="283">
        <f t="shared" si="12"/>
        <v>0</v>
      </c>
      <c r="AK27" s="283">
        <f t="shared" si="12"/>
        <v>0</v>
      </c>
      <c r="AL27" s="284">
        <f t="shared" si="12"/>
        <v>0</v>
      </c>
      <c r="AM27" s="285">
        <f t="shared" si="13"/>
        <v>0</v>
      </c>
      <c r="AN27" s="124"/>
      <c r="AO27" s="281"/>
      <c r="AP27" s="281"/>
      <c r="AQ27" s="124"/>
      <c r="AR27" s="282">
        <f t="shared" si="14"/>
        <v>0</v>
      </c>
      <c r="AS27" s="283">
        <f t="shared" si="15"/>
        <v>0</v>
      </c>
      <c r="AT27" s="283">
        <f t="shared" si="15"/>
        <v>0</v>
      </c>
      <c r="AU27" s="284">
        <f t="shared" si="15"/>
        <v>0</v>
      </c>
      <c r="AV27" s="285">
        <f t="shared" si="16"/>
        <v>0</v>
      </c>
    </row>
    <row r="28" spans="1:48">
      <c r="A28" s="31">
        <f t="shared" si="17"/>
        <v>13</v>
      </c>
      <c r="B28" s="38">
        <f>Metadata!C36</f>
        <v>0.63940415293635666</v>
      </c>
      <c r="C28" s="38">
        <f>Metadata!G36</f>
        <v>0.82402701664571032</v>
      </c>
      <c r="D28" s="280"/>
      <c r="E28" s="281"/>
      <c r="F28" s="281"/>
      <c r="G28" s="124"/>
      <c r="H28" s="282">
        <f t="shared" si="1"/>
        <v>0</v>
      </c>
      <c r="I28" s="283">
        <f t="shared" si="2"/>
        <v>0</v>
      </c>
      <c r="J28" s="283">
        <f t="shared" si="3"/>
        <v>0</v>
      </c>
      <c r="K28" s="284">
        <f t="shared" si="3"/>
        <v>0</v>
      </c>
      <c r="L28" s="285">
        <f t="shared" si="4"/>
        <v>0</v>
      </c>
      <c r="M28" s="124"/>
      <c r="N28" s="281"/>
      <c r="O28" s="281"/>
      <c r="P28" s="124"/>
      <c r="Q28" s="282">
        <f t="shared" si="5"/>
        <v>0</v>
      </c>
      <c r="R28" s="283">
        <f t="shared" si="6"/>
        <v>0</v>
      </c>
      <c r="S28" s="283">
        <f t="shared" si="6"/>
        <v>0</v>
      </c>
      <c r="T28" s="284">
        <f t="shared" si="6"/>
        <v>0</v>
      </c>
      <c r="U28" s="285">
        <f t="shared" si="7"/>
        <v>0</v>
      </c>
      <c r="V28" s="124"/>
      <c r="W28" s="281"/>
      <c r="X28" s="281"/>
      <c r="Y28" s="124"/>
      <c r="Z28" s="282">
        <f t="shared" si="8"/>
        <v>0</v>
      </c>
      <c r="AA28" s="283">
        <f t="shared" si="9"/>
        <v>0</v>
      </c>
      <c r="AB28" s="283">
        <f t="shared" si="9"/>
        <v>0</v>
      </c>
      <c r="AC28" s="284">
        <f t="shared" si="9"/>
        <v>0</v>
      </c>
      <c r="AD28" s="285">
        <f t="shared" si="10"/>
        <v>0</v>
      </c>
      <c r="AE28" s="124"/>
      <c r="AF28" s="281"/>
      <c r="AG28" s="281"/>
      <c r="AH28" s="124"/>
      <c r="AI28" s="282">
        <f t="shared" si="11"/>
        <v>0</v>
      </c>
      <c r="AJ28" s="283">
        <f t="shared" si="12"/>
        <v>0</v>
      </c>
      <c r="AK28" s="283">
        <f t="shared" si="12"/>
        <v>0</v>
      </c>
      <c r="AL28" s="284">
        <f t="shared" si="12"/>
        <v>0</v>
      </c>
      <c r="AM28" s="285">
        <f t="shared" si="13"/>
        <v>0</v>
      </c>
      <c r="AN28" s="124"/>
      <c r="AO28" s="281"/>
      <c r="AP28" s="281"/>
      <c r="AQ28" s="124"/>
      <c r="AR28" s="282">
        <f t="shared" si="14"/>
        <v>0</v>
      </c>
      <c r="AS28" s="283">
        <f t="shared" si="15"/>
        <v>0</v>
      </c>
      <c r="AT28" s="283">
        <f t="shared" si="15"/>
        <v>0</v>
      </c>
      <c r="AU28" s="284">
        <f t="shared" si="15"/>
        <v>0</v>
      </c>
      <c r="AV28" s="285">
        <f t="shared" si="16"/>
        <v>0</v>
      </c>
    </row>
    <row r="29" spans="1:48">
      <c r="A29" s="31">
        <f t="shared" si="17"/>
        <v>14</v>
      </c>
      <c r="B29" s="38">
        <f>Metadata!C37</f>
        <v>0.61778179027667313</v>
      </c>
      <c r="C29" s="38">
        <f>Metadata!G37</f>
        <v>0.81184927748345848</v>
      </c>
      <c r="D29" s="280"/>
      <c r="E29" s="281"/>
      <c r="F29" s="281"/>
      <c r="G29" s="124"/>
      <c r="H29" s="282">
        <f t="shared" si="1"/>
        <v>0</v>
      </c>
      <c r="I29" s="283">
        <f t="shared" si="2"/>
        <v>0</v>
      </c>
      <c r="J29" s="283">
        <f t="shared" si="3"/>
        <v>0</v>
      </c>
      <c r="K29" s="284">
        <f t="shared" si="3"/>
        <v>0</v>
      </c>
      <c r="L29" s="285">
        <f t="shared" si="4"/>
        <v>0</v>
      </c>
      <c r="M29" s="124"/>
      <c r="N29" s="281"/>
      <c r="O29" s="281"/>
      <c r="P29" s="124"/>
      <c r="Q29" s="282">
        <f t="shared" si="5"/>
        <v>0</v>
      </c>
      <c r="R29" s="283">
        <f t="shared" si="6"/>
        <v>0</v>
      </c>
      <c r="S29" s="283">
        <f t="shared" si="6"/>
        <v>0</v>
      </c>
      <c r="T29" s="284">
        <f t="shared" si="6"/>
        <v>0</v>
      </c>
      <c r="U29" s="285">
        <f t="shared" si="7"/>
        <v>0</v>
      </c>
      <c r="V29" s="124"/>
      <c r="W29" s="281"/>
      <c r="X29" s="281"/>
      <c r="Y29" s="124"/>
      <c r="Z29" s="282">
        <f t="shared" si="8"/>
        <v>0</v>
      </c>
      <c r="AA29" s="283">
        <f t="shared" si="9"/>
        <v>0</v>
      </c>
      <c r="AB29" s="283">
        <f t="shared" si="9"/>
        <v>0</v>
      </c>
      <c r="AC29" s="284">
        <f t="shared" si="9"/>
        <v>0</v>
      </c>
      <c r="AD29" s="285">
        <f t="shared" si="10"/>
        <v>0</v>
      </c>
      <c r="AE29" s="124"/>
      <c r="AF29" s="281"/>
      <c r="AG29" s="281"/>
      <c r="AH29" s="124"/>
      <c r="AI29" s="282">
        <f t="shared" si="11"/>
        <v>0</v>
      </c>
      <c r="AJ29" s="283">
        <f t="shared" si="12"/>
        <v>0</v>
      </c>
      <c r="AK29" s="283">
        <f t="shared" si="12"/>
        <v>0</v>
      </c>
      <c r="AL29" s="284">
        <f t="shared" si="12"/>
        <v>0</v>
      </c>
      <c r="AM29" s="285">
        <f t="shared" si="13"/>
        <v>0</v>
      </c>
      <c r="AN29" s="124"/>
      <c r="AO29" s="281"/>
      <c r="AP29" s="281"/>
      <c r="AQ29" s="124"/>
      <c r="AR29" s="282">
        <f t="shared" si="14"/>
        <v>0</v>
      </c>
      <c r="AS29" s="283">
        <f t="shared" si="15"/>
        <v>0</v>
      </c>
      <c r="AT29" s="283">
        <f t="shared" si="15"/>
        <v>0</v>
      </c>
      <c r="AU29" s="284">
        <f t="shared" si="15"/>
        <v>0</v>
      </c>
      <c r="AV29" s="285">
        <f t="shared" si="16"/>
        <v>0</v>
      </c>
    </row>
    <row r="30" spans="1:48">
      <c r="A30" s="31">
        <f t="shared" si="17"/>
        <v>15</v>
      </c>
      <c r="B30" s="38">
        <f>Metadata!C38</f>
        <v>0.59689061862480497</v>
      </c>
      <c r="C30" s="38">
        <f>Metadata!G38</f>
        <v>0.79985150490981138</v>
      </c>
      <c r="D30" s="280"/>
      <c r="E30" s="281"/>
      <c r="F30" s="281"/>
      <c r="G30" s="124"/>
      <c r="H30" s="282">
        <f t="shared" si="1"/>
        <v>0</v>
      </c>
      <c r="I30" s="283">
        <f t="shared" si="2"/>
        <v>0</v>
      </c>
      <c r="J30" s="283">
        <f t="shared" si="3"/>
        <v>0</v>
      </c>
      <c r="K30" s="284">
        <f t="shared" si="3"/>
        <v>0</v>
      </c>
      <c r="L30" s="285">
        <f t="shared" si="4"/>
        <v>0</v>
      </c>
      <c r="M30" s="124"/>
      <c r="N30" s="281"/>
      <c r="O30" s="281"/>
      <c r="P30" s="124"/>
      <c r="Q30" s="282">
        <f t="shared" si="5"/>
        <v>0</v>
      </c>
      <c r="R30" s="283">
        <f t="shared" si="6"/>
        <v>0</v>
      </c>
      <c r="S30" s="283">
        <f t="shared" si="6"/>
        <v>0</v>
      </c>
      <c r="T30" s="284">
        <f t="shared" si="6"/>
        <v>0</v>
      </c>
      <c r="U30" s="285">
        <f t="shared" si="7"/>
        <v>0</v>
      </c>
      <c r="V30" s="124"/>
      <c r="W30" s="281"/>
      <c r="X30" s="281"/>
      <c r="Y30" s="124"/>
      <c r="Z30" s="282">
        <f t="shared" si="8"/>
        <v>0</v>
      </c>
      <c r="AA30" s="283">
        <f t="shared" si="9"/>
        <v>0</v>
      </c>
      <c r="AB30" s="283">
        <f t="shared" si="9"/>
        <v>0</v>
      </c>
      <c r="AC30" s="284">
        <f t="shared" si="9"/>
        <v>0</v>
      </c>
      <c r="AD30" s="285">
        <f t="shared" si="10"/>
        <v>0</v>
      </c>
      <c r="AE30" s="124"/>
      <c r="AF30" s="281"/>
      <c r="AG30" s="281"/>
      <c r="AH30" s="124"/>
      <c r="AI30" s="282">
        <f t="shared" si="11"/>
        <v>0</v>
      </c>
      <c r="AJ30" s="283">
        <f t="shared" si="12"/>
        <v>0</v>
      </c>
      <c r="AK30" s="283">
        <f t="shared" si="12"/>
        <v>0</v>
      </c>
      <c r="AL30" s="284">
        <f t="shared" si="12"/>
        <v>0</v>
      </c>
      <c r="AM30" s="285">
        <f t="shared" si="13"/>
        <v>0</v>
      </c>
      <c r="AN30" s="124"/>
      <c r="AO30" s="281"/>
      <c r="AP30" s="281"/>
      <c r="AQ30" s="124"/>
      <c r="AR30" s="282">
        <f t="shared" si="14"/>
        <v>0</v>
      </c>
      <c r="AS30" s="283">
        <f t="shared" si="15"/>
        <v>0</v>
      </c>
      <c r="AT30" s="283">
        <f t="shared" si="15"/>
        <v>0</v>
      </c>
      <c r="AU30" s="284">
        <f t="shared" si="15"/>
        <v>0</v>
      </c>
      <c r="AV30" s="285">
        <f t="shared" si="16"/>
        <v>0</v>
      </c>
    </row>
    <row r="31" spans="1:48">
      <c r="A31" s="31">
        <f t="shared" si="17"/>
        <v>16</v>
      </c>
      <c r="B31" s="38">
        <f>Metadata!C39</f>
        <v>0.57670591171478747</v>
      </c>
      <c r="C31" s="38">
        <f>Metadata!G39</f>
        <v>0.78803103932001128</v>
      </c>
      <c r="D31" s="280"/>
      <c r="E31" s="281"/>
      <c r="F31" s="281"/>
      <c r="G31" s="124"/>
      <c r="H31" s="282">
        <f t="shared" si="1"/>
        <v>0</v>
      </c>
      <c r="I31" s="283">
        <f t="shared" si="2"/>
        <v>0</v>
      </c>
      <c r="J31" s="283">
        <f t="shared" si="3"/>
        <v>0</v>
      </c>
      <c r="K31" s="284">
        <f t="shared" si="3"/>
        <v>0</v>
      </c>
      <c r="L31" s="285">
        <f t="shared" si="4"/>
        <v>0</v>
      </c>
      <c r="M31" s="124"/>
      <c r="N31" s="281"/>
      <c r="O31" s="281"/>
      <c r="P31" s="124"/>
      <c r="Q31" s="282">
        <f t="shared" si="5"/>
        <v>0</v>
      </c>
      <c r="R31" s="283">
        <f t="shared" si="6"/>
        <v>0</v>
      </c>
      <c r="S31" s="283">
        <f t="shared" si="6"/>
        <v>0</v>
      </c>
      <c r="T31" s="284">
        <f t="shared" si="6"/>
        <v>0</v>
      </c>
      <c r="U31" s="285">
        <f t="shared" si="7"/>
        <v>0</v>
      </c>
      <c r="V31" s="124"/>
      <c r="W31" s="281"/>
      <c r="X31" s="281"/>
      <c r="Y31" s="124"/>
      <c r="Z31" s="282">
        <f t="shared" si="8"/>
        <v>0</v>
      </c>
      <c r="AA31" s="283">
        <f t="shared" si="9"/>
        <v>0</v>
      </c>
      <c r="AB31" s="283">
        <f t="shared" si="9"/>
        <v>0</v>
      </c>
      <c r="AC31" s="284">
        <f t="shared" si="9"/>
        <v>0</v>
      </c>
      <c r="AD31" s="285">
        <f t="shared" si="10"/>
        <v>0</v>
      </c>
      <c r="AE31" s="124"/>
      <c r="AF31" s="281"/>
      <c r="AG31" s="281"/>
      <c r="AH31" s="124"/>
      <c r="AI31" s="282">
        <f t="shared" si="11"/>
        <v>0</v>
      </c>
      <c r="AJ31" s="283">
        <f t="shared" si="12"/>
        <v>0</v>
      </c>
      <c r="AK31" s="283">
        <f t="shared" si="12"/>
        <v>0</v>
      </c>
      <c r="AL31" s="284">
        <f t="shared" si="12"/>
        <v>0</v>
      </c>
      <c r="AM31" s="285">
        <f t="shared" si="13"/>
        <v>0</v>
      </c>
      <c r="AN31" s="124"/>
      <c r="AO31" s="281"/>
      <c r="AP31" s="281"/>
      <c r="AQ31" s="124"/>
      <c r="AR31" s="282">
        <f t="shared" si="14"/>
        <v>0</v>
      </c>
      <c r="AS31" s="283">
        <f t="shared" si="15"/>
        <v>0</v>
      </c>
      <c r="AT31" s="283">
        <f t="shared" si="15"/>
        <v>0</v>
      </c>
      <c r="AU31" s="284">
        <f t="shared" si="15"/>
        <v>0</v>
      </c>
      <c r="AV31" s="285">
        <f t="shared" si="16"/>
        <v>0</v>
      </c>
    </row>
    <row r="32" spans="1:48">
      <c r="A32" s="31">
        <f t="shared" si="17"/>
        <v>17</v>
      </c>
      <c r="B32" s="38">
        <f>Metadata!C40</f>
        <v>0.55720377943457733</v>
      </c>
      <c r="C32" s="38">
        <f>Metadata!G40</f>
        <v>0.77638526041380429</v>
      </c>
      <c r="D32" s="280"/>
      <c r="E32" s="281"/>
      <c r="F32" s="281"/>
      <c r="G32" s="124"/>
      <c r="H32" s="282">
        <f t="shared" si="1"/>
        <v>0</v>
      </c>
      <c r="I32" s="283">
        <f t="shared" si="2"/>
        <v>0</v>
      </c>
      <c r="J32" s="283">
        <f t="shared" si="3"/>
        <v>0</v>
      </c>
      <c r="K32" s="284">
        <f t="shared" si="3"/>
        <v>0</v>
      </c>
      <c r="L32" s="285">
        <f t="shared" si="4"/>
        <v>0</v>
      </c>
      <c r="M32" s="124"/>
      <c r="N32" s="281"/>
      <c r="O32" s="281"/>
      <c r="P32" s="124"/>
      <c r="Q32" s="282">
        <f t="shared" si="5"/>
        <v>0</v>
      </c>
      <c r="R32" s="283">
        <f t="shared" si="6"/>
        <v>0</v>
      </c>
      <c r="S32" s="283">
        <f t="shared" si="6"/>
        <v>0</v>
      </c>
      <c r="T32" s="284">
        <f t="shared" si="6"/>
        <v>0</v>
      </c>
      <c r="U32" s="285">
        <f t="shared" si="7"/>
        <v>0</v>
      </c>
      <c r="V32" s="124"/>
      <c r="W32" s="281"/>
      <c r="X32" s="281"/>
      <c r="Y32" s="124"/>
      <c r="Z32" s="282">
        <f t="shared" si="8"/>
        <v>0</v>
      </c>
      <c r="AA32" s="283">
        <f t="shared" si="9"/>
        <v>0</v>
      </c>
      <c r="AB32" s="283">
        <f t="shared" si="9"/>
        <v>0</v>
      </c>
      <c r="AC32" s="284">
        <f t="shared" si="9"/>
        <v>0</v>
      </c>
      <c r="AD32" s="285">
        <f t="shared" si="10"/>
        <v>0</v>
      </c>
      <c r="AE32" s="124"/>
      <c r="AF32" s="281"/>
      <c r="AG32" s="281"/>
      <c r="AH32" s="124"/>
      <c r="AI32" s="282">
        <f t="shared" si="11"/>
        <v>0</v>
      </c>
      <c r="AJ32" s="283">
        <f t="shared" si="12"/>
        <v>0</v>
      </c>
      <c r="AK32" s="283">
        <f t="shared" si="12"/>
        <v>0</v>
      </c>
      <c r="AL32" s="284">
        <f t="shared" si="12"/>
        <v>0</v>
      </c>
      <c r="AM32" s="285">
        <f t="shared" si="13"/>
        <v>0</v>
      </c>
      <c r="AN32" s="124"/>
      <c r="AO32" s="281"/>
      <c r="AP32" s="281"/>
      <c r="AQ32" s="124"/>
      <c r="AR32" s="282">
        <f t="shared" si="14"/>
        <v>0</v>
      </c>
      <c r="AS32" s="283">
        <f t="shared" si="15"/>
        <v>0</v>
      </c>
      <c r="AT32" s="283">
        <f t="shared" si="15"/>
        <v>0</v>
      </c>
      <c r="AU32" s="284">
        <f t="shared" si="15"/>
        <v>0</v>
      </c>
      <c r="AV32" s="285">
        <f t="shared" si="16"/>
        <v>0</v>
      </c>
    </row>
    <row r="33" spans="1:48">
      <c r="A33" s="31">
        <f t="shared" si="17"/>
        <v>18</v>
      </c>
      <c r="B33" s="38">
        <f>Metadata!C41</f>
        <v>0.53836113955031628</v>
      </c>
      <c r="C33" s="38">
        <f>Metadata!G41</f>
        <v>0.76491158661458558</v>
      </c>
      <c r="D33" s="280"/>
      <c r="E33" s="281"/>
      <c r="F33" s="281"/>
      <c r="G33" s="124"/>
      <c r="H33" s="282">
        <f t="shared" si="1"/>
        <v>0</v>
      </c>
      <c r="I33" s="283">
        <f t="shared" si="2"/>
        <v>0</v>
      </c>
      <c r="J33" s="283">
        <f t="shared" si="3"/>
        <v>0</v>
      </c>
      <c r="K33" s="284">
        <f t="shared" si="3"/>
        <v>0</v>
      </c>
      <c r="L33" s="285">
        <f t="shared" si="4"/>
        <v>0</v>
      </c>
      <c r="M33" s="124"/>
      <c r="N33" s="281"/>
      <c r="O33" s="281"/>
      <c r="P33" s="124"/>
      <c r="Q33" s="282">
        <f t="shared" si="5"/>
        <v>0</v>
      </c>
      <c r="R33" s="283">
        <f t="shared" si="6"/>
        <v>0</v>
      </c>
      <c r="S33" s="283">
        <f t="shared" si="6"/>
        <v>0</v>
      </c>
      <c r="T33" s="284">
        <f t="shared" si="6"/>
        <v>0</v>
      </c>
      <c r="U33" s="285">
        <f t="shared" si="7"/>
        <v>0</v>
      </c>
      <c r="V33" s="124"/>
      <c r="W33" s="281"/>
      <c r="X33" s="281"/>
      <c r="Y33" s="124"/>
      <c r="Z33" s="282">
        <f t="shared" si="8"/>
        <v>0</v>
      </c>
      <c r="AA33" s="283">
        <f t="shared" si="9"/>
        <v>0</v>
      </c>
      <c r="AB33" s="283">
        <f t="shared" si="9"/>
        <v>0</v>
      </c>
      <c r="AC33" s="284">
        <f t="shared" si="9"/>
        <v>0</v>
      </c>
      <c r="AD33" s="285">
        <f t="shared" si="10"/>
        <v>0</v>
      </c>
      <c r="AE33" s="124"/>
      <c r="AF33" s="281"/>
      <c r="AG33" s="281"/>
      <c r="AH33" s="124"/>
      <c r="AI33" s="282">
        <f t="shared" si="11"/>
        <v>0</v>
      </c>
      <c r="AJ33" s="283">
        <f t="shared" si="12"/>
        <v>0</v>
      </c>
      <c r="AK33" s="283">
        <f t="shared" si="12"/>
        <v>0</v>
      </c>
      <c r="AL33" s="284">
        <f t="shared" si="12"/>
        <v>0</v>
      </c>
      <c r="AM33" s="285">
        <f t="shared" si="13"/>
        <v>0</v>
      </c>
      <c r="AN33" s="124"/>
      <c r="AO33" s="281"/>
      <c r="AP33" s="281"/>
      <c r="AQ33" s="124"/>
      <c r="AR33" s="282">
        <f t="shared" si="14"/>
        <v>0</v>
      </c>
      <c r="AS33" s="283">
        <f t="shared" si="15"/>
        <v>0</v>
      </c>
      <c r="AT33" s="283">
        <f t="shared" si="15"/>
        <v>0</v>
      </c>
      <c r="AU33" s="284">
        <f t="shared" si="15"/>
        <v>0</v>
      </c>
      <c r="AV33" s="285">
        <f t="shared" si="16"/>
        <v>0</v>
      </c>
    </row>
    <row r="34" spans="1:48">
      <c r="A34" s="31">
        <f t="shared" si="17"/>
        <v>19</v>
      </c>
      <c r="B34" s="38">
        <f>Metadata!C42</f>
        <v>0.520155690386779</v>
      </c>
      <c r="C34" s="38">
        <f>Metadata!G42</f>
        <v>0.75360747449712873</v>
      </c>
      <c r="D34" s="280"/>
      <c r="E34" s="281"/>
      <c r="F34" s="281"/>
      <c r="G34" s="124"/>
      <c r="H34" s="282">
        <f t="shared" si="1"/>
        <v>0</v>
      </c>
      <c r="I34" s="283">
        <f t="shared" si="2"/>
        <v>0</v>
      </c>
      <c r="J34" s="283">
        <f t="shared" si="3"/>
        <v>0</v>
      </c>
      <c r="K34" s="284">
        <f t="shared" si="3"/>
        <v>0</v>
      </c>
      <c r="L34" s="285">
        <f t="shared" si="4"/>
        <v>0</v>
      </c>
      <c r="M34" s="124"/>
      <c r="N34" s="281"/>
      <c r="O34" s="281"/>
      <c r="P34" s="124"/>
      <c r="Q34" s="282">
        <f t="shared" si="5"/>
        <v>0</v>
      </c>
      <c r="R34" s="283">
        <f t="shared" si="6"/>
        <v>0</v>
      </c>
      <c r="S34" s="283">
        <f t="shared" si="6"/>
        <v>0</v>
      </c>
      <c r="T34" s="284">
        <f t="shared" si="6"/>
        <v>0</v>
      </c>
      <c r="U34" s="285">
        <f t="shared" si="7"/>
        <v>0</v>
      </c>
      <c r="V34" s="124"/>
      <c r="W34" s="281"/>
      <c r="X34" s="281"/>
      <c r="Y34" s="124"/>
      <c r="Z34" s="282">
        <f t="shared" si="8"/>
        <v>0</v>
      </c>
      <c r="AA34" s="283">
        <f t="shared" si="9"/>
        <v>0</v>
      </c>
      <c r="AB34" s="283">
        <f t="shared" si="9"/>
        <v>0</v>
      </c>
      <c r="AC34" s="284">
        <f t="shared" si="9"/>
        <v>0</v>
      </c>
      <c r="AD34" s="285">
        <f t="shared" si="10"/>
        <v>0</v>
      </c>
      <c r="AE34" s="124"/>
      <c r="AF34" s="281"/>
      <c r="AG34" s="281"/>
      <c r="AH34" s="124"/>
      <c r="AI34" s="282">
        <f t="shared" si="11"/>
        <v>0</v>
      </c>
      <c r="AJ34" s="283">
        <f t="shared" si="12"/>
        <v>0</v>
      </c>
      <c r="AK34" s="283">
        <f t="shared" si="12"/>
        <v>0</v>
      </c>
      <c r="AL34" s="284">
        <f t="shared" si="12"/>
        <v>0</v>
      </c>
      <c r="AM34" s="285">
        <f t="shared" si="13"/>
        <v>0</v>
      </c>
      <c r="AN34" s="124"/>
      <c r="AO34" s="281"/>
      <c r="AP34" s="281"/>
      <c r="AQ34" s="124"/>
      <c r="AR34" s="282">
        <f t="shared" si="14"/>
        <v>0</v>
      </c>
      <c r="AS34" s="283">
        <f t="shared" si="15"/>
        <v>0</v>
      </c>
      <c r="AT34" s="283">
        <f t="shared" si="15"/>
        <v>0</v>
      </c>
      <c r="AU34" s="284">
        <f t="shared" si="15"/>
        <v>0</v>
      </c>
      <c r="AV34" s="285">
        <f t="shared" si="16"/>
        <v>0</v>
      </c>
    </row>
    <row r="35" spans="1:48">
      <c r="A35" s="31">
        <f t="shared" si="17"/>
        <v>20</v>
      </c>
      <c r="B35" s="38">
        <f>Metadata!C43</f>
        <v>0.50256588443167061</v>
      </c>
      <c r="C35" s="38">
        <f>Metadata!G43</f>
        <v>0.74247041822377224</v>
      </c>
      <c r="D35" s="280"/>
      <c r="E35" s="281"/>
      <c r="F35" s="281"/>
      <c r="G35" s="124"/>
      <c r="H35" s="282">
        <f t="shared" si="1"/>
        <v>0</v>
      </c>
      <c r="I35" s="283">
        <f t="shared" si="2"/>
        <v>0</v>
      </c>
      <c r="J35" s="283">
        <f t="shared" si="3"/>
        <v>0</v>
      </c>
      <c r="K35" s="284">
        <f t="shared" si="3"/>
        <v>0</v>
      </c>
      <c r="L35" s="285">
        <f t="shared" si="4"/>
        <v>0</v>
      </c>
      <c r="M35" s="124"/>
      <c r="N35" s="281"/>
      <c r="O35" s="281"/>
      <c r="P35" s="124"/>
      <c r="Q35" s="282">
        <f t="shared" si="5"/>
        <v>0</v>
      </c>
      <c r="R35" s="283">
        <f t="shared" si="6"/>
        <v>0</v>
      </c>
      <c r="S35" s="283">
        <f t="shared" si="6"/>
        <v>0</v>
      </c>
      <c r="T35" s="284">
        <f t="shared" si="6"/>
        <v>0</v>
      </c>
      <c r="U35" s="285">
        <f t="shared" si="7"/>
        <v>0</v>
      </c>
      <c r="V35" s="124"/>
      <c r="W35" s="281"/>
      <c r="X35" s="281"/>
      <c r="Y35" s="124"/>
      <c r="Z35" s="282">
        <f t="shared" si="8"/>
        <v>0</v>
      </c>
      <c r="AA35" s="283">
        <f t="shared" si="9"/>
        <v>0</v>
      </c>
      <c r="AB35" s="283">
        <f t="shared" si="9"/>
        <v>0</v>
      </c>
      <c r="AC35" s="284">
        <f t="shared" si="9"/>
        <v>0</v>
      </c>
      <c r="AD35" s="285">
        <f t="shared" si="10"/>
        <v>0</v>
      </c>
      <c r="AE35" s="124"/>
      <c r="AF35" s="281"/>
      <c r="AG35" s="281"/>
      <c r="AH35" s="124"/>
      <c r="AI35" s="282">
        <f t="shared" si="11"/>
        <v>0</v>
      </c>
      <c r="AJ35" s="283">
        <f t="shared" si="12"/>
        <v>0</v>
      </c>
      <c r="AK35" s="283">
        <f t="shared" si="12"/>
        <v>0</v>
      </c>
      <c r="AL35" s="284">
        <f t="shared" si="12"/>
        <v>0</v>
      </c>
      <c r="AM35" s="285">
        <f t="shared" si="13"/>
        <v>0</v>
      </c>
      <c r="AN35" s="124"/>
      <c r="AO35" s="281"/>
      <c r="AP35" s="281"/>
      <c r="AQ35" s="124"/>
      <c r="AR35" s="282">
        <f t="shared" si="14"/>
        <v>0</v>
      </c>
      <c r="AS35" s="283">
        <f t="shared" si="15"/>
        <v>0</v>
      </c>
      <c r="AT35" s="283">
        <f t="shared" si="15"/>
        <v>0</v>
      </c>
      <c r="AU35" s="284">
        <f t="shared" si="15"/>
        <v>0</v>
      </c>
      <c r="AV35" s="285">
        <f t="shared" si="16"/>
        <v>0</v>
      </c>
    </row>
    <row r="36" spans="1:48">
      <c r="A36" s="31">
        <f t="shared" si="17"/>
        <v>21</v>
      </c>
      <c r="B36" s="38">
        <f>Metadata!C44</f>
        <v>0.48557090283253201</v>
      </c>
      <c r="C36" s="38">
        <f>Metadata!G44</f>
        <v>0.73149794898893827</v>
      </c>
      <c r="D36" s="280"/>
      <c r="E36" s="281"/>
      <c r="F36" s="281"/>
      <c r="G36" s="124"/>
      <c r="H36" s="282">
        <f t="shared" si="1"/>
        <v>0</v>
      </c>
      <c r="I36" s="283">
        <f t="shared" si="2"/>
        <v>0</v>
      </c>
      <c r="J36" s="283">
        <f t="shared" si="3"/>
        <v>0</v>
      </c>
      <c r="K36" s="284">
        <f t="shared" si="3"/>
        <v>0</v>
      </c>
      <c r="L36" s="285">
        <f t="shared" si="4"/>
        <v>0</v>
      </c>
      <c r="M36" s="124"/>
      <c r="N36" s="281"/>
      <c r="O36" s="281"/>
      <c r="P36" s="124"/>
      <c r="Q36" s="282">
        <f t="shared" si="5"/>
        <v>0</v>
      </c>
      <c r="R36" s="283">
        <f t="shared" si="6"/>
        <v>0</v>
      </c>
      <c r="S36" s="283">
        <f t="shared" si="6"/>
        <v>0</v>
      </c>
      <c r="T36" s="284">
        <f t="shared" si="6"/>
        <v>0</v>
      </c>
      <c r="U36" s="285">
        <f t="shared" si="7"/>
        <v>0</v>
      </c>
      <c r="V36" s="124"/>
      <c r="W36" s="281"/>
      <c r="X36" s="281"/>
      <c r="Y36" s="124"/>
      <c r="Z36" s="282">
        <f t="shared" si="8"/>
        <v>0</v>
      </c>
      <c r="AA36" s="283">
        <f t="shared" si="9"/>
        <v>0</v>
      </c>
      <c r="AB36" s="283">
        <f t="shared" si="9"/>
        <v>0</v>
      </c>
      <c r="AC36" s="284">
        <f t="shared" si="9"/>
        <v>0</v>
      </c>
      <c r="AD36" s="285">
        <f t="shared" si="10"/>
        <v>0</v>
      </c>
      <c r="AE36" s="124"/>
      <c r="AF36" s="281"/>
      <c r="AG36" s="281"/>
      <c r="AH36" s="124"/>
      <c r="AI36" s="282">
        <f t="shared" si="11"/>
        <v>0</v>
      </c>
      <c r="AJ36" s="283">
        <f t="shared" si="12"/>
        <v>0</v>
      </c>
      <c r="AK36" s="283">
        <f t="shared" si="12"/>
        <v>0</v>
      </c>
      <c r="AL36" s="284">
        <f t="shared" si="12"/>
        <v>0</v>
      </c>
      <c r="AM36" s="285">
        <f t="shared" si="13"/>
        <v>0</v>
      </c>
      <c r="AN36" s="124"/>
      <c r="AO36" s="281"/>
      <c r="AP36" s="281"/>
      <c r="AQ36" s="124"/>
      <c r="AR36" s="282">
        <f t="shared" si="14"/>
        <v>0</v>
      </c>
      <c r="AS36" s="283">
        <f t="shared" si="15"/>
        <v>0</v>
      </c>
      <c r="AT36" s="283">
        <f t="shared" si="15"/>
        <v>0</v>
      </c>
      <c r="AU36" s="284">
        <f t="shared" si="15"/>
        <v>0</v>
      </c>
      <c r="AV36" s="285">
        <f t="shared" si="16"/>
        <v>0</v>
      </c>
    </row>
    <row r="37" spans="1:48">
      <c r="A37" s="31">
        <f t="shared" si="17"/>
        <v>22</v>
      </c>
      <c r="B37" s="38">
        <f>Metadata!C45</f>
        <v>0.46915063075606961</v>
      </c>
      <c r="C37" s="38">
        <f>Metadata!G45</f>
        <v>0.72068763447186046</v>
      </c>
      <c r="D37" s="280"/>
      <c r="E37" s="281"/>
      <c r="F37" s="281"/>
      <c r="G37" s="124"/>
      <c r="H37" s="282">
        <f t="shared" si="1"/>
        <v>0</v>
      </c>
      <c r="I37" s="283">
        <f t="shared" si="2"/>
        <v>0</v>
      </c>
      <c r="J37" s="283">
        <f t="shared" si="3"/>
        <v>0</v>
      </c>
      <c r="K37" s="284">
        <f t="shared" si="3"/>
        <v>0</v>
      </c>
      <c r="L37" s="285">
        <f t="shared" si="4"/>
        <v>0</v>
      </c>
      <c r="M37" s="124"/>
      <c r="N37" s="281"/>
      <c r="O37" s="281"/>
      <c r="P37" s="124"/>
      <c r="Q37" s="282">
        <f t="shared" si="5"/>
        <v>0</v>
      </c>
      <c r="R37" s="283">
        <f t="shared" si="6"/>
        <v>0</v>
      </c>
      <c r="S37" s="283">
        <f t="shared" si="6"/>
        <v>0</v>
      </c>
      <c r="T37" s="284">
        <f t="shared" si="6"/>
        <v>0</v>
      </c>
      <c r="U37" s="285">
        <f t="shared" si="7"/>
        <v>0</v>
      </c>
      <c r="V37" s="124"/>
      <c r="W37" s="281"/>
      <c r="X37" s="281"/>
      <c r="Y37" s="124"/>
      <c r="Z37" s="282">
        <f t="shared" si="8"/>
        <v>0</v>
      </c>
      <c r="AA37" s="283">
        <f t="shared" si="9"/>
        <v>0</v>
      </c>
      <c r="AB37" s="283">
        <f t="shared" si="9"/>
        <v>0</v>
      </c>
      <c r="AC37" s="284">
        <f t="shared" si="9"/>
        <v>0</v>
      </c>
      <c r="AD37" s="285">
        <f t="shared" si="10"/>
        <v>0</v>
      </c>
      <c r="AE37" s="124"/>
      <c r="AF37" s="281"/>
      <c r="AG37" s="281"/>
      <c r="AH37" s="124"/>
      <c r="AI37" s="282">
        <f t="shared" si="11"/>
        <v>0</v>
      </c>
      <c r="AJ37" s="283">
        <f t="shared" si="12"/>
        <v>0</v>
      </c>
      <c r="AK37" s="283">
        <f t="shared" si="12"/>
        <v>0</v>
      </c>
      <c r="AL37" s="284">
        <f t="shared" si="12"/>
        <v>0</v>
      </c>
      <c r="AM37" s="285">
        <f t="shared" si="13"/>
        <v>0</v>
      </c>
      <c r="AN37" s="124"/>
      <c r="AO37" s="281"/>
      <c r="AP37" s="281"/>
      <c r="AQ37" s="124"/>
      <c r="AR37" s="282">
        <f t="shared" si="14"/>
        <v>0</v>
      </c>
      <c r="AS37" s="283">
        <f t="shared" si="15"/>
        <v>0</v>
      </c>
      <c r="AT37" s="283">
        <f t="shared" si="15"/>
        <v>0</v>
      </c>
      <c r="AU37" s="284">
        <f t="shared" si="15"/>
        <v>0</v>
      </c>
      <c r="AV37" s="285">
        <f t="shared" si="16"/>
        <v>0</v>
      </c>
    </row>
    <row r="38" spans="1:48">
      <c r="A38" s="31">
        <f t="shared" si="17"/>
        <v>23</v>
      </c>
      <c r="B38" s="38">
        <f>Metadata!C46</f>
        <v>0.45328563358074364</v>
      </c>
      <c r="C38" s="38">
        <f>Metadata!G46</f>
        <v>0.71003707829739948</v>
      </c>
      <c r="D38" s="280"/>
      <c r="E38" s="281"/>
      <c r="F38" s="281"/>
      <c r="G38" s="124"/>
      <c r="H38" s="282">
        <f t="shared" si="1"/>
        <v>0</v>
      </c>
      <c r="I38" s="283">
        <f t="shared" si="2"/>
        <v>0</v>
      </c>
      <c r="J38" s="283">
        <f t="shared" si="3"/>
        <v>0</v>
      </c>
      <c r="K38" s="284">
        <f t="shared" si="3"/>
        <v>0</v>
      </c>
      <c r="L38" s="285">
        <f t="shared" si="4"/>
        <v>0</v>
      </c>
      <c r="M38" s="124"/>
      <c r="N38" s="281"/>
      <c r="O38" s="281"/>
      <c r="P38" s="124"/>
      <c r="Q38" s="282">
        <f t="shared" si="5"/>
        <v>0</v>
      </c>
      <c r="R38" s="283">
        <f t="shared" si="6"/>
        <v>0</v>
      </c>
      <c r="S38" s="283">
        <f t="shared" si="6"/>
        <v>0</v>
      </c>
      <c r="T38" s="284">
        <f t="shared" si="6"/>
        <v>0</v>
      </c>
      <c r="U38" s="285">
        <f t="shared" si="7"/>
        <v>0</v>
      </c>
      <c r="V38" s="124"/>
      <c r="W38" s="281"/>
      <c r="X38" s="281"/>
      <c r="Y38" s="124"/>
      <c r="Z38" s="282">
        <f t="shared" si="8"/>
        <v>0</v>
      </c>
      <c r="AA38" s="283">
        <f t="shared" si="9"/>
        <v>0</v>
      </c>
      <c r="AB38" s="283">
        <f t="shared" si="9"/>
        <v>0</v>
      </c>
      <c r="AC38" s="284">
        <f t="shared" si="9"/>
        <v>0</v>
      </c>
      <c r="AD38" s="285">
        <f t="shared" si="10"/>
        <v>0</v>
      </c>
      <c r="AE38" s="124"/>
      <c r="AF38" s="281"/>
      <c r="AG38" s="281"/>
      <c r="AH38" s="124"/>
      <c r="AI38" s="282">
        <f t="shared" si="11"/>
        <v>0</v>
      </c>
      <c r="AJ38" s="283">
        <f t="shared" si="12"/>
        <v>0</v>
      </c>
      <c r="AK38" s="283">
        <f t="shared" si="12"/>
        <v>0</v>
      </c>
      <c r="AL38" s="284">
        <f t="shared" si="12"/>
        <v>0</v>
      </c>
      <c r="AM38" s="285">
        <f t="shared" si="13"/>
        <v>0</v>
      </c>
      <c r="AN38" s="124"/>
      <c r="AO38" s="281"/>
      <c r="AP38" s="281"/>
      <c r="AQ38" s="124"/>
      <c r="AR38" s="282">
        <f t="shared" si="14"/>
        <v>0</v>
      </c>
      <c r="AS38" s="283">
        <f t="shared" si="15"/>
        <v>0</v>
      </c>
      <c r="AT38" s="283">
        <f t="shared" si="15"/>
        <v>0</v>
      </c>
      <c r="AU38" s="284">
        <f t="shared" si="15"/>
        <v>0</v>
      </c>
      <c r="AV38" s="285">
        <f t="shared" si="16"/>
        <v>0</v>
      </c>
    </row>
    <row r="39" spans="1:48">
      <c r="A39" s="31">
        <f t="shared" si="17"/>
        <v>24</v>
      </c>
      <c r="B39" s="38">
        <f>Metadata!C47</f>
        <v>0.43795713389443836</v>
      </c>
      <c r="C39" s="38">
        <f>Metadata!G47</f>
        <v>0.69954391950482719</v>
      </c>
      <c r="D39" s="280"/>
      <c r="E39" s="281"/>
      <c r="F39" s="281"/>
      <c r="G39" s="124"/>
      <c r="H39" s="282">
        <f t="shared" si="1"/>
        <v>0</v>
      </c>
      <c r="I39" s="283">
        <f t="shared" si="2"/>
        <v>0</v>
      </c>
      <c r="J39" s="283">
        <f t="shared" si="3"/>
        <v>0</v>
      </c>
      <c r="K39" s="284">
        <f t="shared" si="3"/>
        <v>0</v>
      </c>
      <c r="L39" s="285">
        <f t="shared" si="4"/>
        <v>0</v>
      </c>
      <c r="M39" s="124"/>
      <c r="N39" s="281"/>
      <c r="O39" s="281"/>
      <c r="P39" s="124"/>
      <c r="Q39" s="282">
        <f t="shared" si="5"/>
        <v>0</v>
      </c>
      <c r="R39" s="283">
        <f t="shared" si="6"/>
        <v>0</v>
      </c>
      <c r="S39" s="283">
        <f t="shared" si="6"/>
        <v>0</v>
      </c>
      <c r="T39" s="284">
        <f t="shared" si="6"/>
        <v>0</v>
      </c>
      <c r="U39" s="285">
        <f t="shared" si="7"/>
        <v>0</v>
      </c>
      <c r="V39" s="124"/>
      <c r="W39" s="281"/>
      <c r="X39" s="281"/>
      <c r="Y39" s="124"/>
      <c r="Z39" s="282">
        <f t="shared" si="8"/>
        <v>0</v>
      </c>
      <c r="AA39" s="283">
        <f t="shared" si="9"/>
        <v>0</v>
      </c>
      <c r="AB39" s="283">
        <f t="shared" si="9"/>
        <v>0</v>
      </c>
      <c r="AC39" s="284">
        <f t="shared" si="9"/>
        <v>0</v>
      </c>
      <c r="AD39" s="285">
        <f t="shared" si="10"/>
        <v>0</v>
      </c>
      <c r="AE39" s="124"/>
      <c r="AF39" s="281"/>
      <c r="AG39" s="281"/>
      <c r="AH39" s="124"/>
      <c r="AI39" s="282">
        <f t="shared" si="11"/>
        <v>0</v>
      </c>
      <c r="AJ39" s="283">
        <f t="shared" si="12"/>
        <v>0</v>
      </c>
      <c r="AK39" s="283">
        <f t="shared" si="12"/>
        <v>0</v>
      </c>
      <c r="AL39" s="284">
        <f t="shared" si="12"/>
        <v>0</v>
      </c>
      <c r="AM39" s="285">
        <f t="shared" si="13"/>
        <v>0</v>
      </c>
      <c r="AN39" s="124"/>
      <c r="AO39" s="281"/>
      <c r="AP39" s="281"/>
      <c r="AQ39" s="124"/>
      <c r="AR39" s="282">
        <f t="shared" si="14"/>
        <v>0</v>
      </c>
      <c r="AS39" s="283">
        <f t="shared" si="15"/>
        <v>0</v>
      </c>
      <c r="AT39" s="283">
        <f t="shared" si="15"/>
        <v>0</v>
      </c>
      <c r="AU39" s="284">
        <f t="shared" si="15"/>
        <v>0</v>
      </c>
      <c r="AV39" s="285">
        <f t="shared" si="16"/>
        <v>0</v>
      </c>
    </row>
    <row r="40" spans="1:48">
      <c r="A40" s="31">
        <f t="shared" si="17"/>
        <v>25</v>
      </c>
      <c r="B40" s="38">
        <f>Metadata!C48</f>
        <v>0.42314698926998878</v>
      </c>
      <c r="C40" s="38">
        <f>Metadata!G48</f>
        <v>0.6892058320244604</v>
      </c>
      <c r="D40" s="280"/>
      <c r="E40" s="281"/>
      <c r="F40" s="281"/>
      <c r="G40" s="124"/>
      <c r="H40" s="282">
        <f t="shared" si="1"/>
        <v>0</v>
      </c>
      <c r="I40" s="283">
        <f t="shared" si="2"/>
        <v>0</v>
      </c>
      <c r="J40" s="283">
        <f t="shared" si="3"/>
        <v>0</v>
      </c>
      <c r="K40" s="284">
        <f t="shared" si="3"/>
        <v>0</v>
      </c>
      <c r="L40" s="285">
        <f t="shared" si="4"/>
        <v>0</v>
      </c>
      <c r="M40" s="124"/>
      <c r="N40" s="281"/>
      <c r="O40" s="281"/>
      <c r="P40" s="124"/>
      <c r="Q40" s="282">
        <f t="shared" si="5"/>
        <v>0</v>
      </c>
      <c r="R40" s="283">
        <f t="shared" si="6"/>
        <v>0</v>
      </c>
      <c r="S40" s="283">
        <f t="shared" si="6"/>
        <v>0</v>
      </c>
      <c r="T40" s="284">
        <f t="shared" si="6"/>
        <v>0</v>
      </c>
      <c r="U40" s="285">
        <f t="shared" si="7"/>
        <v>0</v>
      </c>
      <c r="V40" s="124"/>
      <c r="W40" s="281"/>
      <c r="X40" s="281"/>
      <c r="Y40" s="124"/>
      <c r="Z40" s="282">
        <f t="shared" si="8"/>
        <v>0</v>
      </c>
      <c r="AA40" s="283">
        <f t="shared" si="9"/>
        <v>0</v>
      </c>
      <c r="AB40" s="283">
        <f t="shared" si="9"/>
        <v>0</v>
      </c>
      <c r="AC40" s="284">
        <f t="shared" si="9"/>
        <v>0</v>
      </c>
      <c r="AD40" s="285">
        <f t="shared" si="10"/>
        <v>0</v>
      </c>
      <c r="AE40" s="124"/>
      <c r="AF40" s="281"/>
      <c r="AG40" s="281"/>
      <c r="AH40" s="124"/>
      <c r="AI40" s="282">
        <f t="shared" si="11"/>
        <v>0</v>
      </c>
      <c r="AJ40" s="283">
        <f t="shared" si="12"/>
        <v>0</v>
      </c>
      <c r="AK40" s="283">
        <f t="shared" si="12"/>
        <v>0</v>
      </c>
      <c r="AL40" s="284">
        <f t="shared" si="12"/>
        <v>0</v>
      </c>
      <c r="AM40" s="285">
        <f t="shared" si="13"/>
        <v>0</v>
      </c>
      <c r="AN40" s="124"/>
      <c r="AO40" s="281"/>
      <c r="AP40" s="281"/>
      <c r="AQ40" s="124"/>
      <c r="AR40" s="282">
        <f t="shared" si="14"/>
        <v>0</v>
      </c>
      <c r="AS40" s="283">
        <f t="shared" si="15"/>
        <v>0</v>
      </c>
      <c r="AT40" s="283">
        <f t="shared" si="15"/>
        <v>0</v>
      </c>
      <c r="AU40" s="284">
        <f t="shared" si="15"/>
        <v>0</v>
      </c>
      <c r="AV40" s="285">
        <f t="shared" si="16"/>
        <v>0</v>
      </c>
    </row>
    <row r="41" spans="1:48">
      <c r="A41" s="31">
        <f t="shared" si="17"/>
        <v>26</v>
      </c>
      <c r="B41" s="38">
        <f>Metadata!C49</f>
        <v>0.40883767079225974</v>
      </c>
      <c r="C41" s="38">
        <f>Metadata!G49</f>
        <v>0.67902052416202996</v>
      </c>
      <c r="D41" s="280"/>
      <c r="E41" s="281"/>
      <c r="F41" s="281"/>
      <c r="G41" s="124"/>
      <c r="H41" s="282">
        <f t="shared" si="1"/>
        <v>0</v>
      </c>
      <c r="I41" s="283">
        <f t="shared" si="2"/>
        <v>0</v>
      </c>
      <c r="J41" s="283">
        <f t="shared" si="3"/>
        <v>0</v>
      </c>
      <c r="K41" s="284">
        <f t="shared" si="3"/>
        <v>0</v>
      </c>
      <c r="L41" s="285">
        <f t="shared" si="4"/>
        <v>0</v>
      </c>
      <c r="M41" s="124"/>
      <c r="N41" s="281"/>
      <c r="O41" s="281"/>
      <c r="P41" s="124"/>
      <c r="Q41" s="282">
        <f t="shared" si="5"/>
        <v>0</v>
      </c>
      <c r="R41" s="283">
        <f t="shared" si="6"/>
        <v>0</v>
      </c>
      <c r="S41" s="283">
        <f t="shared" si="6"/>
        <v>0</v>
      </c>
      <c r="T41" s="284">
        <f t="shared" si="6"/>
        <v>0</v>
      </c>
      <c r="U41" s="285">
        <f t="shared" si="7"/>
        <v>0</v>
      </c>
      <c r="V41" s="124"/>
      <c r="W41" s="281"/>
      <c r="X41" s="281"/>
      <c r="Y41" s="124"/>
      <c r="Z41" s="282">
        <f t="shared" si="8"/>
        <v>0</v>
      </c>
      <c r="AA41" s="283">
        <f t="shared" si="9"/>
        <v>0</v>
      </c>
      <c r="AB41" s="283">
        <f t="shared" si="9"/>
        <v>0</v>
      </c>
      <c r="AC41" s="284">
        <f t="shared" si="9"/>
        <v>0</v>
      </c>
      <c r="AD41" s="285">
        <f t="shared" si="10"/>
        <v>0</v>
      </c>
      <c r="AE41" s="124"/>
      <c r="AF41" s="281"/>
      <c r="AG41" s="281"/>
      <c r="AH41" s="124"/>
      <c r="AI41" s="282">
        <f t="shared" si="11"/>
        <v>0</v>
      </c>
      <c r="AJ41" s="283">
        <f t="shared" si="12"/>
        <v>0</v>
      </c>
      <c r="AK41" s="283">
        <f t="shared" si="12"/>
        <v>0</v>
      </c>
      <c r="AL41" s="284">
        <f t="shared" si="12"/>
        <v>0</v>
      </c>
      <c r="AM41" s="285">
        <f t="shared" si="13"/>
        <v>0</v>
      </c>
      <c r="AN41" s="124"/>
      <c r="AO41" s="281"/>
      <c r="AP41" s="281"/>
      <c r="AQ41" s="124"/>
      <c r="AR41" s="282">
        <f t="shared" si="14"/>
        <v>0</v>
      </c>
      <c r="AS41" s="283">
        <f t="shared" si="15"/>
        <v>0</v>
      </c>
      <c r="AT41" s="283">
        <f t="shared" si="15"/>
        <v>0</v>
      </c>
      <c r="AU41" s="284">
        <f t="shared" si="15"/>
        <v>0</v>
      </c>
      <c r="AV41" s="285">
        <f t="shared" si="16"/>
        <v>0</v>
      </c>
    </row>
    <row r="42" spans="1:48">
      <c r="A42" s="31">
        <f t="shared" si="17"/>
        <v>27</v>
      </c>
      <c r="B42" s="38">
        <f>Metadata!C50</f>
        <v>0.39501224231136212</v>
      </c>
      <c r="C42" s="38">
        <f>Metadata!G50</f>
        <v>0.66898573809066997</v>
      </c>
      <c r="D42" s="280"/>
      <c r="E42" s="281"/>
      <c r="F42" s="281"/>
      <c r="G42" s="124"/>
      <c r="H42" s="282">
        <f t="shared" si="1"/>
        <v>0</v>
      </c>
      <c r="I42" s="283">
        <f t="shared" si="2"/>
        <v>0</v>
      </c>
      <c r="J42" s="283">
        <f t="shared" si="3"/>
        <v>0</v>
      </c>
      <c r="K42" s="284">
        <f t="shared" si="3"/>
        <v>0</v>
      </c>
      <c r="L42" s="285">
        <f t="shared" si="4"/>
        <v>0</v>
      </c>
      <c r="M42" s="124"/>
      <c r="N42" s="281"/>
      <c r="O42" s="281"/>
      <c r="P42" s="124"/>
      <c r="Q42" s="282">
        <f t="shared" si="5"/>
        <v>0</v>
      </c>
      <c r="R42" s="283">
        <f t="shared" si="6"/>
        <v>0</v>
      </c>
      <c r="S42" s="283">
        <f t="shared" si="6"/>
        <v>0</v>
      </c>
      <c r="T42" s="284">
        <f t="shared" si="6"/>
        <v>0</v>
      </c>
      <c r="U42" s="285">
        <f t="shared" si="7"/>
        <v>0</v>
      </c>
      <c r="V42" s="124"/>
      <c r="W42" s="281"/>
      <c r="X42" s="281"/>
      <c r="Y42" s="124"/>
      <c r="Z42" s="282">
        <f t="shared" si="8"/>
        <v>0</v>
      </c>
      <c r="AA42" s="283">
        <f t="shared" si="9"/>
        <v>0</v>
      </c>
      <c r="AB42" s="283">
        <f t="shared" si="9"/>
        <v>0</v>
      </c>
      <c r="AC42" s="284">
        <f t="shared" si="9"/>
        <v>0</v>
      </c>
      <c r="AD42" s="285">
        <f t="shared" si="10"/>
        <v>0</v>
      </c>
      <c r="AE42" s="124"/>
      <c r="AF42" s="281"/>
      <c r="AG42" s="281"/>
      <c r="AH42" s="124"/>
      <c r="AI42" s="282">
        <f t="shared" si="11"/>
        <v>0</v>
      </c>
      <c r="AJ42" s="283">
        <f t="shared" si="12"/>
        <v>0</v>
      </c>
      <c r="AK42" s="283">
        <f t="shared" si="12"/>
        <v>0</v>
      </c>
      <c r="AL42" s="284">
        <f t="shared" si="12"/>
        <v>0</v>
      </c>
      <c r="AM42" s="285">
        <f t="shared" si="13"/>
        <v>0</v>
      </c>
      <c r="AN42" s="124"/>
      <c r="AO42" s="281"/>
      <c r="AP42" s="281"/>
      <c r="AQ42" s="124"/>
      <c r="AR42" s="282">
        <f t="shared" si="14"/>
        <v>0</v>
      </c>
      <c r="AS42" s="283">
        <f t="shared" si="15"/>
        <v>0</v>
      </c>
      <c r="AT42" s="283">
        <f t="shared" si="15"/>
        <v>0</v>
      </c>
      <c r="AU42" s="284">
        <f t="shared" si="15"/>
        <v>0</v>
      </c>
      <c r="AV42" s="285">
        <f t="shared" si="16"/>
        <v>0</v>
      </c>
    </row>
    <row r="43" spans="1:48">
      <c r="A43" s="31">
        <f t="shared" si="17"/>
        <v>28</v>
      </c>
      <c r="B43" s="38">
        <f>Metadata!C51</f>
        <v>0.38165434039745133</v>
      </c>
      <c r="C43" s="38">
        <f>Metadata!G51</f>
        <v>0.65909924935041386</v>
      </c>
      <c r="D43" s="280"/>
      <c r="E43" s="281"/>
      <c r="F43" s="281"/>
      <c r="G43" s="124"/>
      <c r="H43" s="282">
        <f t="shared" si="1"/>
        <v>0</v>
      </c>
      <c r="I43" s="283">
        <f t="shared" si="2"/>
        <v>0</v>
      </c>
      <c r="J43" s="283">
        <f t="shared" si="3"/>
        <v>0</v>
      </c>
      <c r="K43" s="284">
        <f t="shared" si="3"/>
        <v>0</v>
      </c>
      <c r="L43" s="285">
        <f t="shared" si="4"/>
        <v>0</v>
      </c>
      <c r="M43" s="124"/>
      <c r="N43" s="281"/>
      <c r="O43" s="281"/>
      <c r="P43" s="124"/>
      <c r="Q43" s="282">
        <f t="shared" si="5"/>
        <v>0</v>
      </c>
      <c r="R43" s="283">
        <f t="shared" si="6"/>
        <v>0</v>
      </c>
      <c r="S43" s="283">
        <f t="shared" si="6"/>
        <v>0</v>
      </c>
      <c r="T43" s="284">
        <f t="shared" si="6"/>
        <v>0</v>
      </c>
      <c r="U43" s="285">
        <f t="shared" si="7"/>
        <v>0</v>
      </c>
      <c r="V43" s="124"/>
      <c r="W43" s="281"/>
      <c r="X43" s="281"/>
      <c r="Y43" s="124"/>
      <c r="Z43" s="282">
        <f t="shared" si="8"/>
        <v>0</v>
      </c>
      <c r="AA43" s="283">
        <f t="shared" si="9"/>
        <v>0</v>
      </c>
      <c r="AB43" s="283">
        <f t="shared" si="9"/>
        <v>0</v>
      </c>
      <c r="AC43" s="284">
        <f t="shared" si="9"/>
        <v>0</v>
      </c>
      <c r="AD43" s="285">
        <f t="shared" si="10"/>
        <v>0</v>
      </c>
      <c r="AE43" s="124"/>
      <c r="AF43" s="281"/>
      <c r="AG43" s="281"/>
      <c r="AH43" s="124"/>
      <c r="AI43" s="282">
        <f t="shared" si="11"/>
        <v>0</v>
      </c>
      <c r="AJ43" s="283">
        <f t="shared" si="12"/>
        <v>0</v>
      </c>
      <c r="AK43" s="283">
        <f t="shared" si="12"/>
        <v>0</v>
      </c>
      <c r="AL43" s="284">
        <f t="shared" si="12"/>
        <v>0</v>
      </c>
      <c r="AM43" s="285">
        <f t="shared" si="13"/>
        <v>0</v>
      </c>
      <c r="AN43" s="124"/>
      <c r="AO43" s="281"/>
      <c r="AP43" s="281"/>
      <c r="AQ43" s="124"/>
      <c r="AR43" s="282">
        <f t="shared" si="14"/>
        <v>0</v>
      </c>
      <c r="AS43" s="283">
        <f t="shared" si="15"/>
        <v>0</v>
      </c>
      <c r="AT43" s="283">
        <f t="shared" si="15"/>
        <v>0</v>
      </c>
      <c r="AU43" s="284">
        <f t="shared" si="15"/>
        <v>0</v>
      </c>
      <c r="AV43" s="285">
        <f t="shared" si="16"/>
        <v>0</v>
      </c>
    </row>
    <row r="44" spans="1:48">
      <c r="A44" s="31">
        <f t="shared" si="17"/>
        <v>29</v>
      </c>
      <c r="B44" s="38">
        <f>Metadata!C52</f>
        <v>0.36874815497338298</v>
      </c>
      <c r="C44" s="38">
        <f>Metadata!G52</f>
        <v>0.64935886635508766</v>
      </c>
      <c r="D44" s="280"/>
      <c r="E44" s="281"/>
      <c r="F44" s="281"/>
      <c r="G44" s="124"/>
      <c r="H44" s="282">
        <f t="shared" si="1"/>
        <v>0</v>
      </c>
      <c r="I44" s="283">
        <f t="shared" si="2"/>
        <v>0</v>
      </c>
      <c r="J44" s="283">
        <f t="shared" si="3"/>
        <v>0</v>
      </c>
      <c r="K44" s="284">
        <f t="shared" si="3"/>
        <v>0</v>
      </c>
      <c r="L44" s="285">
        <f t="shared" si="4"/>
        <v>0</v>
      </c>
      <c r="M44" s="124"/>
      <c r="N44" s="281"/>
      <c r="O44" s="281"/>
      <c r="P44" s="124"/>
      <c r="Q44" s="282">
        <f t="shared" si="5"/>
        <v>0</v>
      </c>
      <c r="R44" s="283">
        <f t="shared" si="6"/>
        <v>0</v>
      </c>
      <c r="S44" s="283">
        <f t="shared" si="6"/>
        <v>0</v>
      </c>
      <c r="T44" s="284">
        <f t="shared" si="6"/>
        <v>0</v>
      </c>
      <c r="U44" s="285">
        <f t="shared" si="7"/>
        <v>0</v>
      </c>
      <c r="V44" s="124"/>
      <c r="W44" s="281"/>
      <c r="X44" s="281"/>
      <c r="Y44" s="124"/>
      <c r="Z44" s="282">
        <f t="shared" si="8"/>
        <v>0</v>
      </c>
      <c r="AA44" s="283">
        <f t="shared" si="9"/>
        <v>0</v>
      </c>
      <c r="AB44" s="283">
        <f t="shared" si="9"/>
        <v>0</v>
      </c>
      <c r="AC44" s="284">
        <f t="shared" si="9"/>
        <v>0</v>
      </c>
      <c r="AD44" s="285">
        <f t="shared" si="10"/>
        <v>0</v>
      </c>
      <c r="AE44" s="124"/>
      <c r="AF44" s="281"/>
      <c r="AG44" s="281"/>
      <c r="AH44" s="124"/>
      <c r="AI44" s="282">
        <f t="shared" si="11"/>
        <v>0</v>
      </c>
      <c r="AJ44" s="283">
        <f t="shared" si="12"/>
        <v>0</v>
      </c>
      <c r="AK44" s="283">
        <f t="shared" si="12"/>
        <v>0</v>
      </c>
      <c r="AL44" s="284">
        <f t="shared" si="12"/>
        <v>0</v>
      </c>
      <c r="AM44" s="285">
        <f t="shared" si="13"/>
        <v>0</v>
      </c>
      <c r="AN44" s="124"/>
      <c r="AO44" s="281"/>
      <c r="AP44" s="281"/>
      <c r="AQ44" s="124"/>
      <c r="AR44" s="282">
        <f t="shared" si="14"/>
        <v>0</v>
      </c>
      <c r="AS44" s="283">
        <f t="shared" si="15"/>
        <v>0</v>
      </c>
      <c r="AT44" s="283">
        <f t="shared" si="15"/>
        <v>0</v>
      </c>
      <c r="AU44" s="284">
        <f t="shared" si="15"/>
        <v>0</v>
      </c>
      <c r="AV44" s="285">
        <f t="shared" si="16"/>
        <v>0</v>
      </c>
    </row>
    <row r="45" spans="1:48">
      <c r="A45" s="31">
        <f t="shared" si="17"/>
        <v>30</v>
      </c>
      <c r="B45" s="38">
        <f>Metadata!C53</f>
        <v>0.35627841060230242</v>
      </c>
      <c r="C45" s="38">
        <f>Metadata!G53</f>
        <v>0.63976242990649035</v>
      </c>
      <c r="D45" s="280"/>
      <c r="E45" s="281"/>
      <c r="F45" s="281"/>
      <c r="G45" s="124"/>
      <c r="H45" s="282">
        <f t="shared" si="1"/>
        <v>0</v>
      </c>
      <c r="I45" s="283">
        <f t="shared" si="2"/>
        <v>0</v>
      </c>
      <c r="J45" s="283">
        <f t="shared" si="3"/>
        <v>0</v>
      </c>
      <c r="K45" s="284">
        <f t="shared" si="3"/>
        <v>0</v>
      </c>
      <c r="L45" s="285">
        <f t="shared" si="4"/>
        <v>0</v>
      </c>
      <c r="M45" s="124"/>
      <c r="N45" s="281"/>
      <c r="O45" s="281"/>
      <c r="P45" s="124"/>
      <c r="Q45" s="282">
        <f t="shared" si="5"/>
        <v>0</v>
      </c>
      <c r="R45" s="283">
        <f t="shared" si="6"/>
        <v>0</v>
      </c>
      <c r="S45" s="283">
        <f t="shared" si="6"/>
        <v>0</v>
      </c>
      <c r="T45" s="284">
        <f t="shared" si="6"/>
        <v>0</v>
      </c>
      <c r="U45" s="285">
        <f t="shared" si="7"/>
        <v>0</v>
      </c>
      <c r="V45" s="124"/>
      <c r="W45" s="281"/>
      <c r="X45" s="281"/>
      <c r="Y45" s="124"/>
      <c r="Z45" s="282">
        <f t="shared" si="8"/>
        <v>0</v>
      </c>
      <c r="AA45" s="283">
        <f t="shared" si="9"/>
        <v>0</v>
      </c>
      <c r="AB45" s="283">
        <f t="shared" si="9"/>
        <v>0</v>
      </c>
      <c r="AC45" s="284">
        <f t="shared" si="9"/>
        <v>0</v>
      </c>
      <c r="AD45" s="285">
        <f t="shared" si="10"/>
        <v>0</v>
      </c>
      <c r="AE45" s="124"/>
      <c r="AF45" s="281"/>
      <c r="AG45" s="281"/>
      <c r="AH45" s="124"/>
      <c r="AI45" s="282">
        <f t="shared" si="11"/>
        <v>0</v>
      </c>
      <c r="AJ45" s="283">
        <f t="shared" si="12"/>
        <v>0</v>
      </c>
      <c r="AK45" s="283">
        <f t="shared" si="12"/>
        <v>0</v>
      </c>
      <c r="AL45" s="284">
        <f t="shared" si="12"/>
        <v>0</v>
      </c>
      <c r="AM45" s="285">
        <f t="shared" si="13"/>
        <v>0</v>
      </c>
      <c r="AN45" s="124"/>
      <c r="AO45" s="281"/>
      <c r="AP45" s="281"/>
      <c r="AQ45" s="124"/>
      <c r="AR45" s="282">
        <f t="shared" si="14"/>
        <v>0</v>
      </c>
      <c r="AS45" s="283">
        <f t="shared" si="15"/>
        <v>0</v>
      </c>
      <c r="AT45" s="283">
        <f t="shared" si="15"/>
        <v>0</v>
      </c>
      <c r="AU45" s="284">
        <f t="shared" si="15"/>
        <v>0</v>
      </c>
      <c r="AV45" s="285">
        <f t="shared" si="16"/>
        <v>0</v>
      </c>
    </row>
    <row r="46" spans="1:48">
      <c r="A46" s="31">
        <f t="shared" si="17"/>
        <v>31</v>
      </c>
      <c r="B46" s="38">
        <f>Metadata!C54</f>
        <v>0.34590136951679845</v>
      </c>
      <c r="C46" s="38">
        <f>Metadata!G54</f>
        <v>0.63163954535324751</v>
      </c>
      <c r="D46" s="280"/>
      <c r="E46" s="281"/>
      <c r="F46" s="281"/>
      <c r="G46" s="124"/>
      <c r="H46" s="282">
        <f t="shared" si="1"/>
        <v>0</v>
      </c>
      <c r="I46" s="283">
        <f t="shared" si="2"/>
        <v>0</v>
      </c>
      <c r="J46" s="283">
        <f t="shared" si="3"/>
        <v>0</v>
      </c>
      <c r="K46" s="284">
        <f t="shared" si="3"/>
        <v>0</v>
      </c>
      <c r="L46" s="285">
        <f t="shared" si="4"/>
        <v>0</v>
      </c>
      <c r="M46" s="124"/>
      <c r="N46" s="281"/>
      <c r="O46" s="281"/>
      <c r="P46" s="124"/>
      <c r="Q46" s="282">
        <f t="shared" si="5"/>
        <v>0</v>
      </c>
      <c r="R46" s="283">
        <f t="shared" si="6"/>
        <v>0</v>
      </c>
      <c r="S46" s="283">
        <f t="shared" si="6"/>
        <v>0</v>
      </c>
      <c r="T46" s="284">
        <f t="shared" si="6"/>
        <v>0</v>
      </c>
      <c r="U46" s="285">
        <f t="shared" si="7"/>
        <v>0</v>
      </c>
      <c r="V46" s="124"/>
      <c r="W46" s="281"/>
      <c r="X46" s="281"/>
      <c r="Y46" s="124"/>
      <c r="Z46" s="282">
        <f t="shared" si="8"/>
        <v>0</v>
      </c>
      <c r="AA46" s="283">
        <f t="shared" si="9"/>
        <v>0</v>
      </c>
      <c r="AB46" s="283">
        <f t="shared" si="9"/>
        <v>0</v>
      </c>
      <c r="AC46" s="284">
        <f t="shared" si="9"/>
        <v>0</v>
      </c>
      <c r="AD46" s="285">
        <f t="shared" si="10"/>
        <v>0</v>
      </c>
      <c r="AE46" s="124"/>
      <c r="AF46" s="281"/>
      <c r="AG46" s="281"/>
      <c r="AH46" s="124"/>
      <c r="AI46" s="282">
        <f t="shared" si="11"/>
        <v>0</v>
      </c>
      <c r="AJ46" s="283">
        <f t="shared" si="12"/>
        <v>0</v>
      </c>
      <c r="AK46" s="283">
        <f t="shared" si="12"/>
        <v>0</v>
      </c>
      <c r="AL46" s="284">
        <f t="shared" si="12"/>
        <v>0</v>
      </c>
      <c r="AM46" s="285">
        <f t="shared" si="13"/>
        <v>0</v>
      </c>
      <c r="AN46" s="124"/>
      <c r="AO46" s="281"/>
      <c r="AP46" s="281"/>
      <c r="AQ46" s="124"/>
      <c r="AR46" s="282">
        <f t="shared" si="14"/>
        <v>0</v>
      </c>
      <c r="AS46" s="283">
        <f t="shared" si="15"/>
        <v>0</v>
      </c>
      <c r="AT46" s="283">
        <f t="shared" si="15"/>
        <v>0</v>
      </c>
      <c r="AU46" s="284">
        <f t="shared" si="15"/>
        <v>0</v>
      </c>
      <c r="AV46" s="285">
        <f t="shared" si="16"/>
        <v>0</v>
      </c>
    </row>
    <row r="47" spans="1:48">
      <c r="A47" s="31">
        <f t="shared" si="17"/>
        <v>32</v>
      </c>
      <c r="B47" s="38">
        <f>Metadata!C55</f>
        <v>0.33582657234640628</v>
      </c>
      <c r="C47" s="38">
        <f>Metadata!G55</f>
        <v>0.62361979479221952</v>
      </c>
      <c r="D47" s="280"/>
      <c r="E47" s="281"/>
      <c r="F47" s="281"/>
      <c r="G47" s="124"/>
      <c r="H47" s="282">
        <f t="shared" ref="H47:H78" si="18">SUM(D47:G47)</f>
        <v>0</v>
      </c>
      <c r="I47" s="283">
        <f t="shared" si="2"/>
        <v>0</v>
      </c>
      <c r="J47" s="283">
        <f t="shared" si="3"/>
        <v>0</v>
      </c>
      <c r="K47" s="284">
        <f t="shared" si="3"/>
        <v>0</v>
      </c>
      <c r="L47" s="285">
        <f t="shared" si="4"/>
        <v>0</v>
      </c>
      <c r="M47" s="124"/>
      <c r="N47" s="281"/>
      <c r="O47" s="281"/>
      <c r="P47" s="124"/>
      <c r="Q47" s="282">
        <f t="shared" si="5"/>
        <v>0</v>
      </c>
      <c r="R47" s="283">
        <f t="shared" si="6"/>
        <v>0</v>
      </c>
      <c r="S47" s="283">
        <f t="shared" si="6"/>
        <v>0</v>
      </c>
      <c r="T47" s="284">
        <f t="shared" si="6"/>
        <v>0</v>
      </c>
      <c r="U47" s="285">
        <f t="shared" si="7"/>
        <v>0</v>
      </c>
      <c r="V47" s="124"/>
      <c r="W47" s="281"/>
      <c r="X47" s="281"/>
      <c r="Y47" s="124"/>
      <c r="Z47" s="282">
        <f t="shared" si="8"/>
        <v>0</v>
      </c>
      <c r="AA47" s="283">
        <f t="shared" si="9"/>
        <v>0</v>
      </c>
      <c r="AB47" s="283">
        <f t="shared" si="9"/>
        <v>0</v>
      </c>
      <c r="AC47" s="284">
        <f t="shared" si="9"/>
        <v>0</v>
      </c>
      <c r="AD47" s="285">
        <f t="shared" si="10"/>
        <v>0</v>
      </c>
      <c r="AE47" s="124"/>
      <c r="AF47" s="281"/>
      <c r="AG47" s="281"/>
      <c r="AH47" s="124"/>
      <c r="AI47" s="282">
        <f t="shared" si="11"/>
        <v>0</v>
      </c>
      <c r="AJ47" s="283">
        <f t="shared" si="12"/>
        <v>0</v>
      </c>
      <c r="AK47" s="283">
        <f t="shared" si="12"/>
        <v>0</v>
      </c>
      <c r="AL47" s="284">
        <f t="shared" si="12"/>
        <v>0</v>
      </c>
      <c r="AM47" s="285">
        <f t="shared" si="13"/>
        <v>0</v>
      </c>
      <c r="AN47" s="124"/>
      <c r="AO47" s="281"/>
      <c r="AP47" s="281"/>
      <c r="AQ47" s="124"/>
      <c r="AR47" s="282">
        <f t="shared" si="14"/>
        <v>0</v>
      </c>
      <c r="AS47" s="283">
        <f t="shared" si="15"/>
        <v>0</v>
      </c>
      <c r="AT47" s="283">
        <f t="shared" si="15"/>
        <v>0</v>
      </c>
      <c r="AU47" s="284">
        <f t="shared" si="15"/>
        <v>0</v>
      </c>
      <c r="AV47" s="285">
        <f t="shared" si="16"/>
        <v>0</v>
      </c>
    </row>
    <row r="48" spans="1:48">
      <c r="A48" s="31">
        <f t="shared" si="17"/>
        <v>33</v>
      </c>
      <c r="B48" s="38">
        <f>Metadata!C56</f>
        <v>0.32604521587029733</v>
      </c>
      <c r="C48" s="38">
        <f>Metadata!G56</f>
        <v>0.61570186875996624</v>
      </c>
      <c r="D48" s="280"/>
      <c r="E48" s="281"/>
      <c r="F48" s="281"/>
      <c r="G48" s="124"/>
      <c r="H48" s="282">
        <f t="shared" si="18"/>
        <v>0</v>
      </c>
      <c r="I48" s="283">
        <f t="shared" ref="I48:I79" si="19">D48*$B48</f>
        <v>0</v>
      </c>
      <c r="J48" s="283">
        <f t="shared" si="3"/>
        <v>0</v>
      </c>
      <c r="K48" s="284">
        <f t="shared" si="3"/>
        <v>0</v>
      </c>
      <c r="L48" s="285">
        <f t="shared" si="4"/>
        <v>0</v>
      </c>
      <c r="M48" s="124"/>
      <c r="N48" s="281"/>
      <c r="O48" s="281"/>
      <c r="P48" s="124"/>
      <c r="Q48" s="282">
        <f t="shared" si="5"/>
        <v>0</v>
      </c>
      <c r="R48" s="283">
        <f t="shared" si="6"/>
        <v>0</v>
      </c>
      <c r="S48" s="283">
        <f t="shared" si="6"/>
        <v>0</v>
      </c>
      <c r="T48" s="284">
        <f t="shared" si="6"/>
        <v>0</v>
      </c>
      <c r="U48" s="285">
        <f t="shared" si="7"/>
        <v>0</v>
      </c>
      <c r="V48" s="124"/>
      <c r="W48" s="281"/>
      <c r="X48" s="281"/>
      <c r="Y48" s="124"/>
      <c r="Z48" s="282">
        <f t="shared" si="8"/>
        <v>0</v>
      </c>
      <c r="AA48" s="283">
        <f t="shared" si="9"/>
        <v>0</v>
      </c>
      <c r="AB48" s="283">
        <f t="shared" si="9"/>
        <v>0</v>
      </c>
      <c r="AC48" s="284">
        <f t="shared" si="9"/>
        <v>0</v>
      </c>
      <c r="AD48" s="285">
        <f t="shared" si="10"/>
        <v>0</v>
      </c>
      <c r="AE48" s="124"/>
      <c r="AF48" s="281"/>
      <c r="AG48" s="281"/>
      <c r="AH48" s="124"/>
      <c r="AI48" s="282">
        <f t="shared" si="11"/>
        <v>0</v>
      </c>
      <c r="AJ48" s="283">
        <f t="shared" si="12"/>
        <v>0</v>
      </c>
      <c r="AK48" s="283">
        <f t="shared" si="12"/>
        <v>0</v>
      </c>
      <c r="AL48" s="284">
        <f t="shared" si="12"/>
        <v>0</v>
      </c>
      <c r="AM48" s="285">
        <f t="shared" si="13"/>
        <v>0</v>
      </c>
      <c r="AN48" s="124"/>
      <c r="AO48" s="281"/>
      <c r="AP48" s="281"/>
      <c r="AQ48" s="124"/>
      <c r="AR48" s="282">
        <f t="shared" si="14"/>
        <v>0</v>
      </c>
      <c r="AS48" s="283">
        <f t="shared" si="15"/>
        <v>0</v>
      </c>
      <c r="AT48" s="283">
        <f t="shared" si="15"/>
        <v>0</v>
      </c>
      <c r="AU48" s="284">
        <f t="shared" si="15"/>
        <v>0</v>
      </c>
      <c r="AV48" s="285">
        <f t="shared" si="16"/>
        <v>0</v>
      </c>
    </row>
    <row r="49" spans="1:48">
      <c r="A49" s="31">
        <f t="shared" si="17"/>
        <v>34</v>
      </c>
      <c r="B49" s="38">
        <f>Metadata!C57</f>
        <v>0.31654875327213333</v>
      </c>
      <c r="C49" s="38">
        <f>Metadata!G57</f>
        <v>0.60788447441893867</v>
      </c>
      <c r="D49" s="280"/>
      <c r="E49" s="281"/>
      <c r="F49" s="281"/>
      <c r="G49" s="124"/>
      <c r="H49" s="282">
        <f t="shared" si="18"/>
        <v>0</v>
      </c>
      <c r="I49" s="283">
        <f t="shared" si="19"/>
        <v>0</v>
      </c>
      <c r="J49" s="283">
        <f t="shared" si="3"/>
        <v>0</v>
      </c>
      <c r="K49" s="284">
        <f t="shared" si="3"/>
        <v>0</v>
      </c>
      <c r="L49" s="285">
        <f t="shared" si="4"/>
        <v>0</v>
      </c>
      <c r="M49" s="124"/>
      <c r="N49" s="281"/>
      <c r="O49" s="281"/>
      <c r="P49" s="124"/>
      <c r="Q49" s="282">
        <f t="shared" si="5"/>
        <v>0</v>
      </c>
      <c r="R49" s="283">
        <f t="shared" si="6"/>
        <v>0</v>
      </c>
      <c r="S49" s="283">
        <f t="shared" si="6"/>
        <v>0</v>
      </c>
      <c r="T49" s="284">
        <f t="shared" si="6"/>
        <v>0</v>
      </c>
      <c r="U49" s="285">
        <f t="shared" si="7"/>
        <v>0</v>
      </c>
      <c r="V49" s="124"/>
      <c r="W49" s="281"/>
      <c r="X49" s="281"/>
      <c r="Y49" s="124"/>
      <c r="Z49" s="282">
        <f t="shared" si="8"/>
        <v>0</v>
      </c>
      <c r="AA49" s="283">
        <f t="shared" si="9"/>
        <v>0</v>
      </c>
      <c r="AB49" s="283">
        <f t="shared" si="9"/>
        <v>0</v>
      </c>
      <c r="AC49" s="284">
        <f t="shared" si="9"/>
        <v>0</v>
      </c>
      <c r="AD49" s="285">
        <f t="shared" si="10"/>
        <v>0</v>
      </c>
      <c r="AE49" s="124"/>
      <c r="AF49" s="281"/>
      <c r="AG49" s="281"/>
      <c r="AH49" s="124"/>
      <c r="AI49" s="282">
        <f t="shared" si="11"/>
        <v>0</v>
      </c>
      <c r="AJ49" s="283">
        <f t="shared" si="12"/>
        <v>0</v>
      </c>
      <c r="AK49" s="283">
        <f t="shared" si="12"/>
        <v>0</v>
      </c>
      <c r="AL49" s="284">
        <f t="shared" si="12"/>
        <v>0</v>
      </c>
      <c r="AM49" s="285">
        <f t="shared" si="13"/>
        <v>0</v>
      </c>
      <c r="AN49" s="124"/>
      <c r="AO49" s="281"/>
      <c r="AP49" s="281"/>
      <c r="AQ49" s="124"/>
      <c r="AR49" s="282">
        <f t="shared" si="14"/>
        <v>0</v>
      </c>
      <c r="AS49" s="283">
        <f t="shared" si="15"/>
        <v>0</v>
      </c>
      <c r="AT49" s="283">
        <f t="shared" si="15"/>
        <v>0</v>
      </c>
      <c r="AU49" s="284">
        <f t="shared" si="15"/>
        <v>0</v>
      </c>
      <c r="AV49" s="285">
        <f t="shared" si="16"/>
        <v>0</v>
      </c>
    </row>
    <row r="50" spans="1:48">
      <c r="A50" s="31">
        <f t="shared" si="17"/>
        <v>35</v>
      </c>
      <c r="B50" s="38">
        <f>Metadata!C58</f>
        <v>0.30732888667197411</v>
      </c>
      <c r="C50" s="38">
        <f>Metadata!G58</f>
        <v>0.60016633534638408</v>
      </c>
      <c r="D50" s="280"/>
      <c r="E50" s="281"/>
      <c r="F50" s="281"/>
      <c r="G50" s="124"/>
      <c r="H50" s="282">
        <f t="shared" si="18"/>
        <v>0</v>
      </c>
      <c r="I50" s="283">
        <f t="shared" si="19"/>
        <v>0</v>
      </c>
      <c r="J50" s="283">
        <f t="shared" si="3"/>
        <v>0</v>
      </c>
      <c r="K50" s="284">
        <f t="shared" si="3"/>
        <v>0</v>
      </c>
      <c r="L50" s="285">
        <f t="shared" si="4"/>
        <v>0</v>
      </c>
      <c r="M50" s="124"/>
      <c r="N50" s="281"/>
      <c r="O50" s="281"/>
      <c r="P50" s="124"/>
      <c r="Q50" s="282">
        <f t="shared" si="5"/>
        <v>0</v>
      </c>
      <c r="R50" s="283">
        <f t="shared" si="6"/>
        <v>0</v>
      </c>
      <c r="S50" s="283">
        <f t="shared" si="6"/>
        <v>0</v>
      </c>
      <c r="T50" s="284">
        <f t="shared" si="6"/>
        <v>0</v>
      </c>
      <c r="U50" s="285">
        <f t="shared" si="7"/>
        <v>0</v>
      </c>
      <c r="V50" s="124"/>
      <c r="W50" s="281"/>
      <c r="X50" s="281"/>
      <c r="Y50" s="124"/>
      <c r="Z50" s="282">
        <f t="shared" si="8"/>
        <v>0</v>
      </c>
      <c r="AA50" s="283">
        <f t="shared" si="9"/>
        <v>0</v>
      </c>
      <c r="AB50" s="283">
        <f t="shared" si="9"/>
        <v>0</v>
      </c>
      <c r="AC50" s="284">
        <f t="shared" si="9"/>
        <v>0</v>
      </c>
      <c r="AD50" s="285">
        <f t="shared" si="10"/>
        <v>0</v>
      </c>
      <c r="AE50" s="124"/>
      <c r="AF50" s="281"/>
      <c r="AG50" s="281"/>
      <c r="AH50" s="124"/>
      <c r="AI50" s="282">
        <f t="shared" si="11"/>
        <v>0</v>
      </c>
      <c r="AJ50" s="283">
        <f t="shared" si="12"/>
        <v>0</v>
      </c>
      <c r="AK50" s="283">
        <f t="shared" si="12"/>
        <v>0</v>
      </c>
      <c r="AL50" s="284">
        <f t="shared" si="12"/>
        <v>0</v>
      </c>
      <c r="AM50" s="285">
        <f t="shared" si="13"/>
        <v>0</v>
      </c>
      <c r="AN50" s="124"/>
      <c r="AO50" s="281"/>
      <c r="AP50" s="281"/>
      <c r="AQ50" s="124"/>
      <c r="AR50" s="282">
        <f t="shared" si="14"/>
        <v>0</v>
      </c>
      <c r="AS50" s="283">
        <f t="shared" si="15"/>
        <v>0</v>
      </c>
      <c r="AT50" s="283">
        <f t="shared" si="15"/>
        <v>0</v>
      </c>
      <c r="AU50" s="284">
        <f t="shared" si="15"/>
        <v>0</v>
      </c>
      <c r="AV50" s="285">
        <f t="shared" si="16"/>
        <v>0</v>
      </c>
    </row>
    <row r="51" spans="1:48">
      <c r="A51" s="31">
        <f t="shared" si="17"/>
        <v>36</v>
      </c>
      <c r="B51" s="38">
        <f>Metadata!C59</f>
        <v>0.29837755987570302</v>
      </c>
      <c r="C51" s="38">
        <f>Metadata!G59</f>
        <v>0.59254619132593256</v>
      </c>
      <c r="D51" s="280"/>
      <c r="E51" s="281"/>
      <c r="F51" s="281"/>
      <c r="G51" s="124"/>
      <c r="H51" s="282">
        <f t="shared" si="18"/>
        <v>0</v>
      </c>
      <c r="I51" s="283">
        <f t="shared" si="19"/>
        <v>0</v>
      </c>
      <c r="J51" s="283">
        <f t="shared" si="3"/>
        <v>0</v>
      </c>
      <c r="K51" s="284">
        <f t="shared" si="3"/>
        <v>0</v>
      </c>
      <c r="L51" s="285">
        <f t="shared" si="4"/>
        <v>0</v>
      </c>
      <c r="M51" s="124"/>
      <c r="N51" s="281"/>
      <c r="O51" s="281"/>
      <c r="P51" s="124"/>
      <c r="Q51" s="282">
        <f t="shared" si="5"/>
        <v>0</v>
      </c>
      <c r="R51" s="283">
        <f t="shared" si="6"/>
        <v>0</v>
      </c>
      <c r="S51" s="283">
        <f t="shared" si="6"/>
        <v>0</v>
      </c>
      <c r="T51" s="284">
        <f t="shared" si="6"/>
        <v>0</v>
      </c>
      <c r="U51" s="285">
        <f t="shared" si="7"/>
        <v>0</v>
      </c>
      <c r="V51" s="124"/>
      <c r="W51" s="281"/>
      <c r="X51" s="281"/>
      <c r="Y51" s="124"/>
      <c r="Z51" s="282">
        <f t="shared" si="8"/>
        <v>0</v>
      </c>
      <c r="AA51" s="283">
        <f t="shared" si="9"/>
        <v>0</v>
      </c>
      <c r="AB51" s="283">
        <f t="shared" si="9"/>
        <v>0</v>
      </c>
      <c r="AC51" s="284">
        <f t="shared" si="9"/>
        <v>0</v>
      </c>
      <c r="AD51" s="285">
        <f t="shared" si="10"/>
        <v>0</v>
      </c>
      <c r="AE51" s="124"/>
      <c r="AF51" s="281"/>
      <c r="AG51" s="281"/>
      <c r="AH51" s="124"/>
      <c r="AI51" s="282">
        <f t="shared" si="11"/>
        <v>0</v>
      </c>
      <c r="AJ51" s="283">
        <f t="shared" si="12"/>
        <v>0</v>
      </c>
      <c r="AK51" s="283">
        <f t="shared" si="12"/>
        <v>0</v>
      </c>
      <c r="AL51" s="284">
        <f t="shared" si="12"/>
        <v>0</v>
      </c>
      <c r="AM51" s="285">
        <f t="shared" si="13"/>
        <v>0</v>
      </c>
      <c r="AN51" s="124"/>
      <c r="AO51" s="281"/>
      <c r="AP51" s="281"/>
      <c r="AQ51" s="124"/>
      <c r="AR51" s="282">
        <f t="shared" si="14"/>
        <v>0</v>
      </c>
      <c r="AS51" s="283">
        <f t="shared" si="15"/>
        <v>0</v>
      </c>
      <c r="AT51" s="283">
        <f t="shared" si="15"/>
        <v>0</v>
      </c>
      <c r="AU51" s="284">
        <f t="shared" si="15"/>
        <v>0</v>
      </c>
      <c r="AV51" s="285">
        <f t="shared" si="16"/>
        <v>0</v>
      </c>
    </row>
    <row r="52" spans="1:48">
      <c r="A52" s="31">
        <f t="shared" si="17"/>
        <v>37</v>
      </c>
      <c r="B52" s="38">
        <f>Metadata!C60</f>
        <v>0.28968695133563399</v>
      </c>
      <c r="C52" s="38">
        <f>Metadata!G60</f>
        <v>0.58502279814182856</v>
      </c>
      <c r="D52" s="280"/>
      <c r="E52" s="281"/>
      <c r="F52" s="281"/>
      <c r="G52" s="124"/>
      <c r="H52" s="282">
        <f t="shared" si="18"/>
        <v>0</v>
      </c>
      <c r="I52" s="283">
        <f t="shared" si="19"/>
        <v>0</v>
      </c>
      <c r="J52" s="283">
        <f t="shared" si="3"/>
        <v>0</v>
      </c>
      <c r="K52" s="284">
        <f t="shared" si="3"/>
        <v>0</v>
      </c>
      <c r="L52" s="285">
        <f t="shared" si="4"/>
        <v>0</v>
      </c>
      <c r="M52" s="124"/>
      <c r="N52" s="281"/>
      <c r="O52" s="281"/>
      <c r="P52" s="124"/>
      <c r="Q52" s="282">
        <f t="shared" si="5"/>
        <v>0</v>
      </c>
      <c r="R52" s="283">
        <f t="shared" si="6"/>
        <v>0</v>
      </c>
      <c r="S52" s="283">
        <f t="shared" si="6"/>
        <v>0</v>
      </c>
      <c r="T52" s="284">
        <f t="shared" si="6"/>
        <v>0</v>
      </c>
      <c r="U52" s="285">
        <f t="shared" si="7"/>
        <v>0</v>
      </c>
      <c r="V52" s="124"/>
      <c r="W52" s="281"/>
      <c r="X52" s="281"/>
      <c r="Y52" s="124"/>
      <c r="Z52" s="282">
        <f t="shared" si="8"/>
        <v>0</v>
      </c>
      <c r="AA52" s="283">
        <f t="shared" si="9"/>
        <v>0</v>
      </c>
      <c r="AB52" s="283">
        <f t="shared" si="9"/>
        <v>0</v>
      </c>
      <c r="AC52" s="284">
        <f t="shared" si="9"/>
        <v>0</v>
      </c>
      <c r="AD52" s="285">
        <f t="shared" si="10"/>
        <v>0</v>
      </c>
      <c r="AE52" s="124"/>
      <c r="AF52" s="281"/>
      <c r="AG52" s="281"/>
      <c r="AH52" s="124"/>
      <c r="AI52" s="282">
        <f t="shared" si="11"/>
        <v>0</v>
      </c>
      <c r="AJ52" s="283">
        <f t="shared" si="12"/>
        <v>0</v>
      </c>
      <c r="AK52" s="283">
        <f t="shared" si="12"/>
        <v>0</v>
      </c>
      <c r="AL52" s="284">
        <f t="shared" si="12"/>
        <v>0</v>
      </c>
      <c r="AM52" s="285">
        <f t="shared" si="13"/>
        <v>0</v>
      </c>
      <c r="AN52" s="124"/>
      <c r="AO52" s="281"/>
      <c r="AP52" s="281"/>
      <c r="AQ52" s="124"/>
      <c r="AR52" s="282">
        <f t="shared" si="14"/>
        <v>0</v>
      </c>
      <c r="AS52" s="283">
        <f t="shared" si="15"/>
        <v>0</v>
      </c>
      <c r="AT52" s="283">
        <f t="shared" si="15"/>
        <v>0</v>
      </c>
      <c r="AU52" s="284">
        <f t="shared" si="15"/>
        <v>0</v>
      </c>
      <c r="AV52" s="285">
        <f t="shared" si="16"/>
        <v>0</v>
      </c>
    </row>
    <row r="53" spans="1:48">
      <c r="A53" s="31">
        <f t="shared" si="17"/>
        <v>38</v>
      </c>
      <c r="B53" s="38">
        <f>Metadata!C61</f>
        <v>0.28124946731614953</v>
      </c>
      <c r="C53" s="38">
        <f>Metadata!G61</f>
        <v>0.577594927375776</v>
      </c>
      <c r="D53" s="280"/>
      <c r="E53" s="281"/>
      <c r="F53" s="281"/>
      <c r="G53" s="124"/>
      <c r="H53" s="282">
        <f t="shared" si="18"/>
        <v>0</v>
      </c>
      <c r="I53" s="283">
        <f t="shared" si="19"/>
        <v>0</v>
      </c>
      <c r="J53" s="283">
        <f t="shared" si="3"/>
        <v>0</v>
      </c>
      <c r="K53" s="284">
        <f t="shared" si="3"/>
        <v>0</v>
      </c>
      <c r="L53" s="285">
        <f t="shared" si="4"/>
        <v>0</v>
      </c>
      <c r="M53" s="124"/>
      <c r="N53" s="281"/>
      <c r="O53" s="281"/>
      <c r="P53" s="124"/>
      <c r="Q53" s="282">
        <f t="shared" si="5"/>
        <v>0</v>
      </c>
      <c r="R53" s="283">
        <f t="shared" si="6"/>
        <v>0</v>
      </c>
      <c r="S53" s="283">
        <f t="shared" si="6"/>
        <v>0</v>
      </c>
      <c r="T53" s="284">
        <f t="shared" si="6"/>
        <v>0</v>
      </c>
      <c r="U53" s="285">
        <f t="shared" si="7"/>
        <v>0</v>
      </c>
      <c r="V53" s="124"/>
      <c r="W53" s="281"/>
      <c r="X53" s="281"/>
      <c r="Y53" s="124"/>
      <c r="Z53" s="282">
        <f t="shared" si="8"/>
        <v>0</v>
      </c>
      <c r="AA53" s="283">
        <f t="shared" si="9"/>
        <v>0</v>
      </c>
      <c r="AB53" s="283">
        <f t="shared" si="9"/>
        <v>0</v>
      </c>
      <c r="AC53" s="284">
        <f t="shared" si="9"/>
        <v>0</v>
      </c>
      <c r="AD53" s="285">
        <f t="shared" si="10"/>
        <v>0</v>
      </c>
      <c r="AE53" s="124"/>
      <c r="AF53" s="281"/>
      <c r="AG53" s="281"/>
      <c r="AH53" s="124"/>
      <c r="AI53" s="282">
        <f t="shared" si="11"/>
        <v>0</v>
      </c>
      <c r="AJ53" s="283">
        <f t="shared" si="12"/>
        <v>0</v>
      </c>
      <c r="AK53" s="283">
        <f t="shared" si="12"/>
        <v>0</v>
      </c>
      <c r="AL53" s="284">
        <f t="shared" si="12"/>
        <v>0</v>
      </c>
      <c r="AM53" s="285">
        <f t="shared" si="13"/>
        <v>0</v>
      </c>
      <c r="AN53" s="124"/>
      <c r="AO53" s="281"/>
      <c r="AP53" s="281"/>
      <c r="AQ53" s="124"/>
      <c r="AR53" s="282">
        <f t="shared" si="14"/>
        <v>0</v>
      </c>
      <c r="AS53" s="283">
        <f t="shared" si="15"/>
        <v>0</v>
      </c>
      <c r="AT53" s="283">
        <f t="shared" si="15"/>
        <v>0</v>
      </c>
      <c r="AU53" s="284">
        <f t="shared" si="15"/>
        <v>0</v>
      </c>
      <c r="AV53" s="285">
        <f t="shared" si="16"/>
        <v>0</v>
      </c>
    </row>
    <row r="54" spans="1:48">
      <c r="A54" s="31">
        <f t="shared" si="17"/>
        <v>39</v>
      </c>
      <c r="B54" s="38">
        <f>Metadata!C62</f>
        <v>0.2730577352583976</v>
      </c>
      <c r="C54" s="38">
        <f>Metadata!G62</f>
        <v>0.57026136620636214</v>
      </c>
      <c r="D54" s="280"/>
      <c r="E54" s="281"/>
      <c r="F54" s="281"/>
      <c r="G54" s="124"/>
      <c r="H54" s="282">
        <f t="shared" si="18"/>
        <v>0</v>
      </c>
      <c r="I54" s="283">
        <f t="shared" si="19"/>
        <v>0</v>
      </c>
      <c r="J54" s="283">
        <f t="shared" si="3"/>
        <v>0</v>
      </c>
      <c r="K54" s="284">
        <f t="shared" si="3"/>
        <v>0</v>
      </c>
      <c r="L54" s="285">
        <f t="shared" si="4"/>
        <v>0</v>
      </c>
      <c r="M54" s="124"/>
      <c r="N54" s="281"/>
      <c r="O54" s="281"/>
      <c r="P54" s="124"/>
      <c r="Q54" s="282">
        <f t="shared" si="5"/>
        <v>0</v>
      </c>
      <c r="R54" s="283">
        <f t="shared" si="6"/>
        <v>0</v>
      </c>
      <c r="S54" s="283">
        <f t="shared" si="6"/>
        <v>0</v>
      </c>
      <c r="T54" s="284">
        <f t="shared" si="6"/>
        <v>0</v>
      </c>
      <c r="U54" s="285">
        <f t="shared" si="7"/>
        <v>0</v>
      </c>
      <c r="V54" s="124"/>
      <c r="W54" s="281"/>
      <c r="X54" s="281"/>
      <c r="Y54" s="124"/>
      <c r="Z54" s="282">
        <f t="shared" si="8"/>
        <v>0</v>
      </c>
      <c r="AA54" s="283">
        <f t="shared" si="9"/>
        <v>0</v>
      </c>
      <c r="AB54" s="283">
        <f t="shared" si="9"/>
        <v>0</v>
      </c>
      <c r="AC54" s="284">
        <f t="shared" si="9"/>
        <v>0</v>
      </c>
      <c r="AD54" s="285">
        <f t="shared" si="10"/>
        <v>0</v>
      </c>
      <c r="AE54" s="124"/>
      <c r="AF54" s="281"/>
      <c r="AG54" s="281"/>
      <c r="AH54" s="124"/>
      <c r="AI54" s="282">
        <f t="shared" si="11"/>
        <v>0</v>
      </c>
      <c r="AJ54" s="283">
        <f t="shared" si="12"/>
        <v>0</v>
      </c>
      <c r="AK54" s="283">
        <f t="shared" si="12"/>
        <v>0</v>
      </c>
      <c r="AL54" s="284">
        <f t="shared" si="12"/>
        <v>0</v>
      </c>
      <c r="AM54" s="285">
        <f t="shared" si="13"/>
        <v>0</v>
      </c>
      <c r="AN54" s="124"/>
      <c r="AO54" s="281"/>
      <c r="AP54" s="281"/>
      <c r="AQ54" s="124"/>
      <c r="AR54" s="282">
        <f t="shared" si="14"/>
        <v>0</v>
      </c>
      <c r="AS54" s="283">
        <f t="shared" si="15"/>
        <v>0</v>
      </c>
      <c r="AT54" s="283">
        <f t="shared" si="15"/>
        <v>0</v>
      </c>
      <c r="AU54" s="284">
        <f t="shared" si="15"/>
        <v>0</v>
      </c>
      <c r="AV54" s="285">
        <f t="shared" si="16"/>
        <v>0</v>
      </c>
    </row>
    <row r="55" spans="1:48">
      <c r="A55" s="31">
        <f t="shared" si="17"/>
        <v>40</v>
      </c>
      <c r="B55" s="38">
        <f>Metadata!C63</f>
        <v>0.26510459733825009</v>
      </c>
      <c r="C55" s="38">
        <f>Metadata!G63</f>
        <v>0.56302091721102832</v>
      </c>
      <c r="D55" s="280"/>
      <c r="E55" s="281"/>
      <c r="F55" s="281"/>
      <c r="G55" s="124"/>
      <c r="H55" s="282">
        <f t="shared" si="18"/>
        <v>0</v>
      </c>
      <c r="I55" s="283">
        <f t="shared" si="19"/>
        <v>0</v>
      </c>
      <c r="J55" s="283">
        <f t="shared" si="3"/>
        <v>0</v>
      </c>
      <c r="K55" s="284">
        <f t="shared" si="3"/>
        <v>0</v>
      </c>
      <c r="L55" s="285">
        <f t="shared" si="4"/>
        <v>0</v>
      </c>
      <c r="M55" s="124"/>
      <c r="N55" s="281"/>
      <c r="O55" s="281"/>
      <c r="P55" s="124"/>
      <c r="Q55" s="282">
        <f t="shared" si="5"/>
        <v>0</v>
      </c>
      <c r="R55" s="283">
        <f t="shared" si="6"/>
        <v>0</v>
      </c>
      <c r="S55" s="283">
        <f t="shared" si="6"/>
        <v>0</v>
      </c>
      <c r="T55" s="284">
        <f t="shared" si="6"/>
        <v>0</v>
      </c>
      <c r="U55" s="285">
        <f t="shared" si="7"/>
        <v>0</v>
      </c>
      <c r="V55" s="124"/>
      <c r="W55" s="281"/>
      <c r="X55" s="281"/>
      <c r="Y55" s="124"/>
      <c r="Z55" s="282">
        <f t="shared" si="8"/>
        <v>0</v>
      </c>
      <c r="AA55" s="283">
        <f t="shared" si="9"/>
        <v>0</v>
      </c>
      <c r="AB55" s="283">
        <f t="shared" si="9"/>
        <v>0</v>
      </c>
      <c r="AC55" s="284">
        <f t="shared" si="9"/>
        <v>0</v>
      </c>
      <c r="AD55" s="285">
        <f t="shared" si="10"/>
        <v>0</v>
      </c>
      <c r="AE55" s="124"/>
      <c r="AF55" s="281"/>
      <c r="AG55" s="281"/>
      <c r="AH55" s="124"/>
      <c r="AI55" s="282">
        <f t="shared" si="11"/>
        <v>0</v>
      </c>
      <c r="AJ55" s="283">
        <f t="shared" si="12"/>
        <v>0</v>
      </c>
      <c r="AK55" s="283">
        <f t="shared" si="12"/>
        <v>0</v>
      </c>
      <c r="AL55" s="284">
        <f t="shared" si="12"/>
        <v>0</v>
      </c>
      <c r="AM55" s="285">
        <f t="shared" si="13"/>
        <v>0</v>
      </c>
      <c r="AN55" s="124"/>
      <c r="AO55" s="281"/>
      <c r="AP55" s="281"/>
      <c r="AQ55" s="124"/>
      <c r="AR55" s="282">
        <f t="shared" si="14"/>
        <v>0</v>
      </c>
      <c r="AS55" s="283">
        <f t="shared" si="15"/>
        <v>0</v>
      </c>
      <c r="AT55" s="283">
        <f t="shared" si="15"/>
        <v>0</v>
      </c>
      <c r="AU55" s="284">
        <f t="shared" si="15"/>
        <v>0</v>
      </c>
      <c r="AV55" s="285">
        <f t="shared" si="16"/>
        <v>0</v>
      </c>
    </row>
    <row r="56" spans="1:48">
      <c r="A56" s="31">
        <f t="shared" si="17"/>
        <v>41</v>
      </c>
      <c r="B56" s="38">
        <f>Metadata!C64</f>
        <v>0.25738310421189331</v>
      </c>
      <c r="C56" s="38">
        <f>Metadata!G64</f>
        <v>0.55587239817055489</v>
      </c>
      <c r="D56" s="280"/>
      <c r="E56" s="281"/>
      <c r="F56" s="281"/>
      <c r="G56" s="124"/>
      <c r="H56" s="282">
        <f t="shared" si="18"/>
        <v>0</v>
      </c>
      <c r="I56" s="283">
        <f t="shared" si="19"/>
        <v>0</v>
      </c>
      <c r="J56" s="283">
        <f t="shared" si="3"/>
        <v>0</v>
      </c>
      <c r="K56" s="284">
        <f t="shared" si="3"/>
        <v>0</v>
      </c>
      <c r="L56" s="285">
        <f t="shared" si="4"/>
        <v>0</v>
      </c>
      <c r="M56" s="124"/>
      <c r="N56" s="281"/>
      <c r="O56" s="281"/>
      <c r="P56" s="124"/>
      <c r="Q56" s="282">
        <f t="shared" si="5"/>
        <v>0</v>
      </c>
      <c r="R56" s="283">
        <f t="shared" si="6"/>
        <v>0</v>
      </c>
      <c r="S56" s="283">
        <f t="shared" si="6"/>
        <v>0</v>
      </c>
      <c r="T56" s="284">
        <f t="shared" si="6"/>
        <v>0</v>
      </c>
      <c r="U56" s="285">
        <f t="shared" si="7"/>
        <v>0</v>
      </c>
      <c r="V56" s="124"/>
      <c r="W56" s="281"/>
      <c r="X56" s="281"/>
      <c r="Y56" s="124"/>
      <c r="Z56" s="282">
        <f t="shared" si="8"/>
        <v>0</v>
      </c>
      <c r="AA56" s="283">
        <f t="shared" si="9"/>
        <v>0</v>
      </c>
      <c r="AB56" s="283">
        <f t="shared" si="9"/>
        <v>0</v>
      </c>
      <c r="AC56" s="284">
        <f t="shared" si="9"/>
        <v>0</v>
      </c>
      <c r="AD56" s="285">
        <f t="shared" si="10"/>
        <v>0</v>
      </c>
      <c r="AE56" s="124"/>
      <c r="AF56" s="281"/>
      <c r="AG56" s="281"/>
      <c r="AH56" s="124"/>
      <c r="AI56" s="282">
        <f t="shared" si="11"/>
        <v>0</v>
      </c>
      <c r="AJ56" s="283">
        <f t="shared" si="12"/>
        <v>0</v>
      </c>
      <c r="AK56" s="283">
        <f t="shared" si="12"/>
        <v>0</v>
      </c>
      <c r="AL56" s="284">
        <f t="shared" si="12"/>
        <v>0</v>
      </c>
      <c r="AM56" s="285">
        <f t="shared" si="13"/>
        <v>0</v>
      </c>
      <c r="AN56" s="124"/>
      <c r="AO56" s="281"/>
      <c r="AP56" s="281"/>
      <c r="AQ56" s="124"/>
      <c r="AR56" s="282">
        <f t="shared" si="14"/>
        <v>0</v>
      </c>
      <c r="AS56" s="283">
        <f t="shared" si="15"/>
        <v>0</v>
      </c>
      <c r="AT56" s="283">
        <f t="shared" si="15"/>
        <v>0</v>
      </c>
      <c r="AU56" s="284">
        <f t="shared" si="15"/>
        <v>0</v>
      </c>
      <c r="AV56" s="285">
        <f t="shared" si="16"/>
        <v>0</v>
      </c>
    </row>
    <row r="57" spans="1:48">
      <c r="A57" s="31">
        <f t="shared" si="17"/>
        <v>42</v>
      </c>
      <c r="B57" s="38">
        <f>Metadata!C65</f>
        <v>0.24988650894358574</v>
      </c>
      <c r="C57" s="38">
        <f>Metadata!G65</f>
        <v>0.54881464187602913</v>
      </c>
      <c r="D57" s="280"/>
      <c r="E57" s="281"/>
      <c r="F57" s="281"/>
      <c r="G57" s="124"/>
      <c r="H57" s="282">
        <f t="shared" si="18"/>
        <v>0</v>
      </c>
      <c r="I57" s="283">
        <f t="shared" si="19"/>
        <v>0</v>
      </c>
      <c r="J57" s="283">
        <f t="shared" si="3"/>
        <v>0</v>
      </c>
      <c r="K57" s="284">
        <f t="shared" si="3"/>
        <v>0</v>
      </c>
      <c r="L57" s="285">
        <f t="shared" si="4"/>
        <v>0</v>
      </c>
      <c r="M57" s="124"/>
      <c r="N57" s="281"/>
      <c r="O57" s="281"/>
      <c r="P57" s="124"/>
      <c r="Q57" s="282">
        <f t="shared" si="5"/>
        <v>0</v>
      </c>
      <c r="R57" s="283">
        <f t="shared" si="6"/>
        <v>0</v>
      </c>
      <c r="S57" s="283">
        <f t="shared" si="6"/>
        <v>0</v>
      </c>
      <c r="T57" s="284">
        <f t="shared" si="6"/>
        <v>0</v>
      </c>
      <c r="U57" s="285">
        <f t="shared" si="7"/>
        <v>0</v>
      </c>
      <c r="V57" s="124"/>
      <c r="W57" s="281"/>
      <c r="X57" s="281"/>
      <c r="Y57" s="124"/>
      <c r="Z57" s="282">
        <f t="shared" si="8"/>
        <v>0</v>
      </c>
      <c r="AA57" s="283">
        <f t="shared" si="9"/>
        <v>0</v>
      </c>
      <c r="AB57" s="283">
        <f t="shared" si="9"/>
        <v>0</v>
      </c>
      <c r="AC57" s="284">
        <f t="shared" si="9"/>
        <v>0</v>
      </c>
      <c r="AD57" s="285">
        <f t="shared" si="10"/>
        <v>0</v>
      </c>
      <c r="AE57" s="124"/>
      <c r="AF57" s="281"/>
      <c r="AG57" s="281"/>
      <c r="AH57" s="124"/>
      <c r="AI57" s="282">
        <f t="shared" si="11"/>
        <v>0</v>
      </c>
      <c r="AJ57" s="283">
        <f t="shared" si="12"/>
        <v>0</v>
      </c>
      <c r="AK57" s="283">
        <f t="shared" si="12"/>
        <v>0</v>
      </c>
      <c r="AL57" s="284">
        <f t="shared" si="12"/>
        <v>0</v>
      </c>
      <c r="AM57" s="285">
        <f t="shared" si="13"/>
        <v>0</v>
      </c>
      <c r="AN57" s="124"/>
      <c r="AO57" s="281"/>
      <c r="AP57" s="281"/>
      <c r="AQ57" s="124"/>
      <c r="AR57" s="282">
        <f t="shared" si="14"/>
        <v>0</v>
      </c>
      <c r="AS57" s="283">
        <f t="shared" si="15"/>
        <v>0</v>
      </c>
      <c r="AT57" s="283">
        <f t="shared" si="15"/>
        <v>0</v>
      </c>
      <c r="AU57" s="284">
        <f t="shared" si="15"/>
        <v>0</v>
      </c>
      <c r="AV57" s="285">
        <f t="shared" si="16"/>
        <v>0</v>
      </c>
    </row>
    <row r="58" spans="1:48">
      <c r="A58" s="31">
        <f t="shared" si="17"/>
        <v>43</v>
      </c>
      <c r="B58" s="38">
        <f>Metadata!C66</f>
        <v>0.24260826111027742</v>
      </c>
      <c r="C58" s="38">
        <f>Metadata!G66</f>
        <v>0.54184649593826306</v>
      </c>
      <c r="D58" s="280"/>
      <c r="E58" s="281"/>
      <c r="F58" s="281"/>
      <c r="G58" s="124"/>
      <c r="H58" s="282">
        <f t="shared" si="18"/>
        <v>0</v>
      </c>
      <c r="I58" s="283">
        <f t="shared" si="19"/>
        <v>0</v>
      </c>
      <c r="J58" s="283">
        <f t="shared" si="3"/>
        <v>0</v>
      </c>
      <c r="K58" s="284">
        <f t="shared" si="3"/>
        <v>0</v>
      </c>
      <c r="L58" s="285">
        <f t="shared" si="4"/>
        <v>0</v>
      </c>
      <c r="M58" s="124"/>
      <c r="N58" s="281"/>
      <c r="O58" s="281"/>
      <c r="P58" s="124"/>
      <c r="Q58" s="282">
        <f t="shared" si="5"/>
        <v>0</v>
      </c>
      <c r="R58" s="283">
        <f t="shared" si="6"/>
        <v>0</v>
      </c>
      <c r="S58" s="283">
        <f t="shared" si="6"/>
        <v>0</v>
      </c>
      <c r="T58" s="284">
        <f t="shared" si="6"/>
        <v>0</v>
      </c>
      <c r="U58" s="285">
        <f t="shared" si="7"/>
        <v>0</v>
      </c>
      <c r="V58" s="124"/>
      <c r="W58" s="281"/>
      <c r="X58" s="281"/>
      <c r="Y58" s="124"/>
      <c r="Z58" s="282">
        <f t="shared" si="8"/>
        <v>0</v>
      </c>
      <c r="AA58" s="283">
        <f t="shared" si="9"/>
        <v>0</v>
      </c>
      <c r="AB58" s="283">
        <f t="shared" si="9"/>
        <v>0</v>
      </c>
      <c r="AC58" s="284">
        <f t="shared" si="9"/>
        <v>0</v>
      </c>
      <c r="AD58" s="285">
        <f t="shared" si="10"/>
        <v>0</v>
      </c>
      <c r="AE58" s="124"/>
      <c r="AF58" s="281"/>
      <c r="AG58" s="281"/>
      <c r="AH58" s="124"/>
      <c r="AI58" s="282">
        <f t="shared" si="11"/>
        <v>0</v>
      </c>
      <c r="AJ58" s="283">
        <f t="shared" si="12"/>
        <v>0</v>
      </c>
      <c r="AK58" s="283">
        <f t="shared" si="12"/>
        <v>0</v>
      </c>
      <c r="AL58" s="284">
        <f t="shared" si="12"/>
        <v>0</v>
      </c>
      <c r="AM58" s="285">
        <f t="shared" si="13"/>
        <v>0</v>
      </c>
      <c r="AN58" s="124"/>
      <c r="AO58" s="281"/>
      <c r="AP58" s="281"/>
      <c r="AQ58" s="124"/>
      <c r="AR58" s="282">
        <f t="shared" si="14"/>
        <v>0</v>
      </c>
      <c r="AS58" s="283">
        <f t="shared" si="15"/>
        <v>0</v>
      </c>
      <c r="AT58" s="283">
        <f t="shared" si="15"/>
        <v>0</v>
      </c>
      <c r="AU58" s="284">
        <f t="shared" si="15"/>
        <v>0</v>
      </c>
      <c r="AV58" s="285">
        <f t="shared" si="16"/>
        <v>0</v>
      </c>
    </row>
    <row r="59" spans="1:48">
      <c r="A59" s="31">
        <f t="shared" si="17"/>
        <v>44</v>
      </c>
      <c r="B59" s="38">
        <f>Metadata!C67</f>
        <v>0.23554200107793924</v>
      </c>
      <c r="C59" s="38">
        <f>Metadata!G67</f>
        <v>0.5349668225996318</v>
      </c>
      <c r="D59" s="280"/>
      <c r="E59" s="281"/>
      <c r="F59" s="281"/>
      <c r="G59" s="124"/>
      <c r="H59" s="282">
        <f t="shared" si="18"/>
        <v>0</v>
      </c>
      <c r="I59" s="283">
        <f t="shared" si="19"/>
        <v>0</v>
      </c>
      <c r="J59" s="283">
        <f t="shared" si="3"/>
        <v>0</v>
      </c>
      <c r="K59" s="284">
        <f t="shared" si="3"/>
        <v>0</v>
      </c>
      <c r="L59" s="285">
        <f t="shared" si="4"/>
        <v>0</v>
      </c>
      <c r="M59" s="124"/>
      <c r="N59" s="281"/>
      <c r="O59" s="281"/>
      <c r="P59" s="124"/>
      <c r="Q59" s="282">
        <f t="shared" si="5"/>
        <v>0</v>
      </c>
      <c r="R59" s="283">
        <f t="shared" si="6"/>
        <v>0</v>
      </c>
      <c r="S59" s="283">
        <f t="shared" si="6"/>
        <v>0</v>
      </c>
      <c r="T59" s="284">
        <f t="shared" si="6"/>
        <v>0</v>
      </c>
      <c r="U59" s="285">
        <f t="shared" si="7"/>
        <v>0</v>
      </c>
      <c r="V59" s="124"/>
      <c r="W59" s="281"/>
      <c r="X59" s="281"/>
      <c r="Y59" s="124"/>
      <c r="Z59" s="282">
        <f t="shared" si="8"/>
        <v>0</v>
      </c>
      <c r="AA59" s="283">
        <f t="shared" si="9"/>
        <v>0</v>
      </c>
      <c r="AB59" s="283">
        <f t="shared" si="9"/>
        <v>0</v>
      </c>
      <c r="AC59" s="284">
        <f t="shared" si="9"/>
        <v>0</v>
      </c>
      <c r="AD59" s="285">
        <f t="shared" si="10"/>
        <v>0</v>
      </c>
      <c r="AE59" s="124"/>
      <c r="AF59" s="281"/>
      <c r="AG59" s="281"/>
      <c r="AH59" s="124"/>
      <c r="AI59" s="282">
        <f t="shared" si="11"/>
        <v>0</v>
      </c>
      <c r="AJ59" s="283">
        <f t="shared" si="12"/>
        <v>0</v>
      </c>
      <c r="AK59" s="283">
        <f t="shared" si="12"/>
        <v>0</v>
      </c>
      <c r="AL59" s="284">
        <f t="shared" si="12"/>
        <v>0</v>
      </c>
      <c r="AM59" s="285">
        <f t="shared" si="13"/>
        <v>0</v>
      </c>
      <c r="AN59" s="124"/>
      <c r="AO59" s="281"/>
      <c r="AP59" s="281"/>
      <c r="AQ59" s="124"/>
      <c r="AR59" s="282">
        <f t="shared" si="14"/>
        <v>0</v>
      </c>
      <c r="AS59" s="283">
        <f t="shared" si="15"/>
        <v>0</v>
      </c>
      <c r="AT59" s="283">
        <f t="shared" si="15"/>
        <v>0</v>
      </c>
      <c r="AU59" s="284">
        <f t="shared" si="15"/>
        <v>0</v>
      </c>
      <c r="AV59" s="285">
        <f t="shared" si="16"/>
        <v>0</v>
      </c>
    </row>
    <row r="60" spans="1:48">
      <c r="A60" s="31">
        <f t="shared" si="17"/>
        <v>45</v>
      </c>
      <c r="B60" s="38">
        <f>Metadata!C68</f>
        <v>0.2286815544446012</v>
      </c>
      <c r="C60" s="38">
        <f>Metadata!G68</f>
        <v>0.52817449854830056</v>
      </c>
      <c r="D60" s="280"/>
      <c r="E60" s="281"/>
      <c r="F60" s="281"/>
      <c r="G60" s="124"/>
      <c r="H60" s="282">
        <f t="shared" si="18"/>
        <v>0</v>
      </c>
      <c r="I60" s="283">
        <f t="shared" si="19"/>
        <v>0</v>
      </c>
      <c r="J60" s="283">
        <f t="shared" si="3"/>
        <v>0</v>
      </c>
      <c r="K60" s="284">
        <f t="shared" si="3"/>
        <v>0</v>
      </c>
      <c r="L60" s="285">
        <f t="shared" si="4"/>
        <v>0</v>
      </c>
      <c r="M60" s="124"/>
      <c r="N60" s="281"/>
      <c r="O60" s="281"/>
      <c r="P60" s="124"/>
      <c r="Q60" s="282">
        <f t="shared" si="5"/>
        <v>0</v>
      </c>
      <c r="R60" s="283">
        <f t="shared" si="6"/>
        <v>0</v>
      </c>
      <c r="S60" s="283">
        <f t="shared" si="6"/>
        <v>0</v>
      </c>
      <c r="T60" s="284">
        <f t="shared" si="6"/>
        <v>0</v>
      </c>
      <c r="U60" s="285">
        <f t="shared" si="7"/>
        <v>0</v>
      </c>
      <c r="V60" s="124"/>
      <c r="W60" s="281"/>
      <c r="X60" s="281"/>
      <c r="Y60" s="124"/>
      <c r="Z60" s="282">
        <f t="shared" si="8"/>
        <v>0</v>
      </c>
      <c r="AA60" s="283">
        <f t="shared" si="9"/>
        <v>0</v>
      </c>
      <c r="AB60" s="283">
        <f t="shared" si="9"/>
        <v>0</v>
      </c>
      <c r="AC60" s="284">
        <f t="shared" si="9"/>
        <v>0</v>
      </c>
      <c r="AD60" s="285">
        <f t="shared" si="10"/>
        <v>0</v>
      </c>
      <c r="AE60" s="124"/>
      <c r="AF60" s="281"/>
      <c r="AG60" s="281"/>
      <c r="AH60" s="124"/>
      <c r="AI60" s="282">
        <f t="shared" si="11"/>
        <v>0</v>
      </c>
      <c r="AJ60" s="283">
        <f t="shared" si="12"/>
        <v>0</v>
      </c>
      <c r="AK60" s="283">
        <f t="shared" si="12"/>
        <v>0</v>
      </c>
      <c r="AL60" s="284">
        <f t="shared" si="12"/>
        <v>0</v>
      </c>
      <c r="AM60" s="285">
        <f t="shared" si="13"/>
        <v>0</v>
      </c>
      <c r="AN60" s="124"/>
      <c r="AO60" s="281"/>
      <c r="AP60" s="281"/>
      <c r="AQ60" s="124"/>
      <c r="AR60" s="282">
        <f t="shared" si="14"/>
        <v>0</v>
      </c>
      <c r="AS60" s="283">
        <f t="shared" si="15"/>
        <v>0</v>
      </c>
      <c r="AT60" s="283">
        <f t="shared" si="15"/>
        <v>0</v>
      </c>
      <c r="AU60" s="284">
        <f t="shared" si="15"/>
        <v>0</v>
      </c>
      <c r="AV60" s="285">
        <f t="shared" si="16"/>
        <v>0</v>
      </c>
    </row>
    <row r="61" spans="1:48">
      <c r="A61" s="31">
        <f t="shared" si="17"/>
        <v>46</v>
      </c>
      <c r="B61" s="38">
        <f>Metadata!C69</f>
        <v>0.22202092664524387</v>
      </c>
      <c r="C61" s="38">
        <f>Metadata!G69</f>
        <v>0.52146841473481087</v>
      </c>
      <c r="D61" s="280"/>
      <c r="E61" s="281"/>
      <c r="F61" s="281"/>
      <c r="G61" s="124"/>
      <c r="H61" s="282">
        <f t="shared" si="18"/>
        <v>0</v>
      </c>
      <c r="I61" s="283">
        <f t="shared" si="19"/>
        <v>0</v>
      </c>
      <c r="J61" s="283">
        <f t="shared" si="3"/>
        <v>0</v>
      </c>
      <c r="K61" s="284">
        <f t="shared" si="3"/>
        <v>0</v>
      </c>
      <c r="L61" s="285">
        <f t="shared" si="4"/>
        <v>0</v>
      </c>
      <c r="M61" s="124"/>
      <c r="N61" s="281"/>
      <c r="O61" s="281"/>
      <c r="P61" s="124"/>
      <c r="Q61" s="282">
        <f t="shared" si="5"/>
        <v>0</v>
      </c>
      <c r="R61" s="283">
        <f t="shared" si="6"/>
        <v>0</v>
      </c>
      <c r="S61" s="283">
        <f t="shared" si="6"/>
        <v>0</v>
      </c>
      <c r="T61" s="284">
        <f t="shared" si="6"/>
        <v>0</v>
      </c>
      <c r="U61" s="285">
        <f t="shared" si="7"/>
        <v>0</v>
      </c>
      <c r="V61" s="124"/>
      <c r="W61" s="281"/>
      <c r="X61" s="281"/>
      <c r="Y61" s="124"/>
      <c r="Z61" s="282">
        <f t="shared" si="8"/>
        <v>0</v>
      </c>
      <c r="AA61" s="283">
        <f t="shared" si="9"/>
        <v>0</v>
      </c>
      <c r="AB61" s="283">
        <f t="shared" si="9"/>
        <v>0</v>
      </c>
      <c r="AC61" s="284">
        <f t="shared" si="9"/>
        <v>0</v>
      </c>
      <c r="AD61" s="285">
        <f t="shared" si="10"/>
        <v>0</v>
      </c>
      <c r="AE61" s="124"/>
      <c r="AF61" s="281"/>
      <c r="AG61" s="281"/>
      <c r="AH61" s="124"/>
      <c r="AI61" s="282">
        <f t="shared" si="11"/>
        <v>0</v>
      </c>
      <c r="AJ61" s="283">
        <f t="shared" si="12"/>
        <v>0</v>
      </c>
      <c r="AK61" s="283">
        <f t="shared" si="12"/>
        <v>0</v>
      </c>
      <c r="AL61" s="284">
        <f t="shared" si="12"/>
        <v>0</v>
      </c>
      <c r="AM61" s="285">
        <f t="shared" si="13"/>
        <v>0</v>
      </c>
      <c r="AN61" s="124"/>
      <c r="AO61" s="281"/>
      <c r="AP61" s="281"/>
      <c r="AQ61" s="124"/>
      <c r="AR61" s="282">
        <f t="shared" si="14"/>
        <v>0</v>
      </c>
      <c r="AS61" s="283">
        <f t="shared" si="15"/>
        <v>0</v>
      </c>
      <c r="AT61" s="283">
        <f t="shared" si="15"/>
        <v>0</v>
      </c>
      <c r="AU61" s="284">
        <f t="shared" si="15"/>
        <v>0</v>
      </c>
      <c r="AV61" s="285">
        <f t="shared" si="16"/>
        <v>0</v>
      </c>
    </row>
    <row r="62" spans="1:48">
      <c r="A62" s="31">
        <f t="shared" si="17"/>
        <v>47</v>
      </c>
      <c r="B62" s="38">
        <f>Metadata!C70</f>
        <v>0.215554297713829</v>
      </c>
      <c r="C62" s="38">
        <f>Metadata!G70</f>
        <v>0.51484747619099458</v>
      </c>
      <c r="D62" s="280"/>
      <c r="E62" s="281"/>
      <c r="F62" s="281"/>
      <c r="G62" s="124"/>
      <c r="H62" s="282">
        <f t="shared" si="18"/>
        <v>0</v>
      </c>
      <c r="I62" s="283">
        <f t="shared" si="19"/>
        <v>0</v>
      </c>
      <c r="J62" s="283">
        <f t="shared" si="3"/>
        <v>0</v>
      </c>
      <c r="K62" s="284">
        <f t="shared" si="3"/>
        <v>0</v>
      </c>
      <c r="L62" s="285">
        <f t="shared" si="4"/>
        <v>0</v>
      </c>
      <c r="M62" s="124"/>
      <c r="N62" s="281"/>
      <c r="O62" s="281"/>
      <c r="P62" s="124"/>
      <c r="Q62" s="282">
        <f t="shared" si="5"/>
        <v>0</v>
      </c>
      <c r="R62" s="283">
        <f t="shared" si="6"/>
        <v>0</v>
      </c>
      <c r="S62" s="283">
        <f t="shared" si="6"/>
        <v>0</v>
      </c>
      <c r="T62" s="284">
        <f t="shared" si="6"/>
        <v>0</v>
      </c>
      <c r="U62" s="285">
        <f t="shared" si="7"/>
        <v>0</v>
      </c>
      <c r="V62" s="124"/>
      <c r="W62" s="281"/>
      <c r="X62" s="281"/>
      <c r="Y62" s="124"/>
      <c r="Z62" s="282">
        <f t="shared" si="8"/>
        <v>0</v>
      </c>
      <c r="AA62" s="283">
        <f t="shared" si="9"/>
        <v>0</v>
      </c>
      <c r="AB62" s="283">
        <f t="shared" si="9"/>
        <v>0</v>
      </c>
      <c r="AC62" s="284">
        <f t="shared" si="9"/>
        <v>0</v>
      </c>
      <c r="AD62" s="285">
        <f t="shared" si="10"/>
        <v>0</v>
      </c>
      <c r="AE62" s="124"/>
      <c r="AF62" s="281"/>
      <c r="AG62" s="281"/>
      <c r="AH62" s="124"/>
      <c r="AI62" s="282">
        <f t="shared" si="11"/>
        <v>0</v>
      </c>
      <c r="AJ62" s="283">
        <f t="shared" si="12"/>
        <v>0</v>
      </c>
      <c r="AK62" s="283">
        <f t="shared" si="12"/>
        <v>0</v>
      </c>
      <c r="AL62" s="284">
        <f t="shared" si="12"/>
        <v>0</v>
      </c>
      <c r="AM62" s="285">
        <f t="shared" si="13"/>
        <v>0</v>
      </c>
      <c r="AN62" s="124"/>
      <c r="AO62" s="281"/>
      <c r="AP62" s="281"/>
      <c r="AQ62" s="124"/>
      <c r="AR62" s="282">
        <f t="shared" si="14"/>
        <v>0</v>
      </c>
      <c r="AS62" s="283">
        <f t="shared" si="15"/>
        <v>0</v>
      </c>
      <c r="AT62" s="283">
        <f t="shared" si="15"/>
        <v>0</v>
      </c>
      <c r="AU62" s="284">
        <f t="shared" si="15"/>
        <v>0</v>
      </c>
      <c r="AV62" s="285">
        <f t="shared" si="16"/>
        <v>0</v>
      </c>
    </row>
    <row r="63" spans="1:48">
      <c r="A63" s="31">
        <f t="shared" si="17"/>
        <v>48</v>
      </c>
      <c r="B63" s="38">
        <f>Metadata!C71</f>
        <v>0.20927601719789224</v>
      </c>
      <c r="C63" s="38">
        <f>Metadata!G71</f>
        <v>0.50831060185118826</v>
      </c>
      <c r="D63" s="280"/>
      <c r="E63" s="281"/>
      <c r="F63" s="281"/>
      <c r="G63" s="124"/>
      <c r="H63" s="282">
        <f t="shared" si="18"/>
        <v>0</v>
      </c>
      <c r="I63" s="283">
        <f t="shared" si="19"/>
        <v>0</v>
      </c>
      <c r="J63" s="283">
        <f t="shared" si="3"/>
        <v>0</v>
      </c>
      <c r="K63" s="284">
        <f t="shared" si="3"/>
        <v>0</v>
      </c>
      <c r="L63" s="285">
        <f t="shared" si="4"/>
        <v>0</v>
      </c>
      <c r="M63" s="124"/>
      <c r="N63" s="281"/>
      <c r="O63" s="281"/>
      <c r="P63" s="124"/>
      <c r="Q63" s="282">
        <f t="shared" si="5"/>
        <v>0</v>
      </c>
      <c r="R63" s="283">
        <f t="shared" si="6"/>
        <v>0</v>
      </c>
      <c r="S63" s="283">
        <f t="shared" si="6"/>
        <v>0</v>
      </c>
      <c r="T63" s="284">
        <f t="shared" si="6"/>
        <v>0</v>
      </c>
      <c r="U63" s="285">
        <f t="shared" si="7"/>
        <v>0</v>
      </c>
      <c r="V63" s="124"/>
      <c r="W63" s="281"/>
      <c r="X63" s="281"/>
      <c r="Y63" s="124"/>
      <c r="Z63" s="282">
        <f t="shared" si="8"/>
        <v>0</v>
      </c>
      <c r="AA63" s="283">
        <f t="shared" si="9"/>
        <v>0</v>
      </c>
      <c r="AB63" s="283">
        <f t="shared" si="9"/>
        <v>0</v>
      </c>
      <c r="AC63" s="284">
        <f t="shared" si="9"/>
        <v>0</v>
      </c>
      <c r="AD63" s="285">
        <f t="shared" si="10"/>
        <v>0</v>
      </c>
      <c r="AE63" s="124"/>
      <c r="AF63" s="281"/>
      <c r="AG63" s="281"/>
      <c r="AH63" s="124"/>
      <c r="AI63" s="282">
        <f t="shared" si="11"/>
        <v>0</v>
      </c>
      <c r="AJ63" s="283">
        <f t="shared" si="12"/>
        <v>0</v>
      </c>
      <c r="AK63" s="283">
        <f t="shared" si="12"/>
        <v>0</v>
      </c>
      <c r="AL63" s="284">
        <f t="shared" si="12"/>
        <v>0</v>
      </c>
      <c r="AM63" s="285">
        <f t="shared" si="13"/>
        <v>0</v>
      </c>
      <c r="AN63" s="124"/>
      <c r="AO63" s="281"/>
      <c r="AP63" s="281"/>
      <c r="AQ63" s="124"/>
      <c r="AR63" s="282">
        <f t="shared" si="14"/>
        <v>0</v>
      </c>
      <c r="AS63" s="283">
        <f t="shared" si="15"/>
        <v>0</v>
      </c>
      <c r="AT63" s="283">
        <f t="shared" si="15"/>
        <v>0</v>
      </c>
      <c r="AU63" s="284">
        <f t="shared" si="15"/>
        <v>0</v>
      </c>
      <c r="AV63" s="285">
        <f t="shared" si="16"/>
        <v>0</v>
      </c>
    </row>
    <row r="64" spans="1:48">
      <c r="A64" s="31">
        <f t="shared" si="17"/>
        <v>49</v>
      </c>
      <c r="B64" s="38">
        <f>Metadata!C72</f>
        <v>0.20318059922125459</v>
      </c>
      <c r="C64" s="38">
        <f>Metadata!G72</f>
        <v>0.50185672437571649</v>
      </c>
      <c r="D64" s="280"/>
      <c r="E64" s="281"/>
      <c r="F64" s="281"/>
      <c r="G64" s="124"/>
      <c r="H64" s="282">
        <f t="shared" si="18"/>
        <v>0</v>
      </c>
      <c r="I64" s="283">
        <f t="shared" si="19"/>
        <v>0</v>
      </c>
      <c r="J64" s="283">
        <f t="shared" si="3"/>
        <v>0</v>
      </c>
      <c r="K64" s="284">
        <f t="shared" si="3"/>
        <v>0</v>
      </c>
      <c r="L64" s="285">
        <f t="shared" si="4"/>
        <v>0</v>
      </c>
      <c r="M64" s="124"/>
      <c r="N64" s="281"/>
      <c r="O64" s="281"/>
      <c r="P64" s="124"/>
      <c r="Q64" s="282">
        <f t="shared" si="5"/>
        <v>0</v>
      </c>
      <c r="R64" s="283">
        <f t="shared" si="6"/>
        <v>0</v>
      </c>
      <c r="S64" s="283">
        <f t="shared" si="6"/>
        <v>0</v>
      </c>
      <c r="T64" s="284">
        <f t="shared" si="6"/>
        <v>0</v>
      </c>
      <c r="U64" s="285">
        <f t="shared" si="7"/>
        <v>0</v>
      </c>
      <c r="V64" s="124"/>
      <c r="W64" s="281"/>
      <c r="X64" s="281"/>
      <c r="Y64" s="124"/>
      <c r="Z64" s="282">
        <f t="shared" si="8"/>
        <v>0</v>
      </c>
      <c r="AA64" s="283">
        <f t="shared" si="9"/>
        <v>0</v>
      </c>
      <c r="AB64" s="283">
        <f t="shared" si="9"/>
        <v>0</v>
      </c>
      <c r="AC64" s="284">
        <f t="shared" si="9"/>
        <v>0</v>
      </c>
      <c r="AD64" s="285">
        <f t="shared" si="10"/>
        <v>0</v>
      </c>
      <c r="AE64" s="124"/>
      <c r="AF64" s="281"/>
      <c r="AG64" s="281"/>
      <c r="AH64" s="124"/>
      <c r="AI64" s="282">
        <f t="shared" si="11"/>
        <v>0</v>
      </c>
      <c r="AJ64" s="283">
        <f t="shared" si="12"/>
        <v>0</v>
      </c>
      <c r="AK64" s="283">
        <f t="shared" si="12"/>
        <v>0</v>
      </c>
      <c r="AL64" s="284">
        <f t="shared" si="12"/>
        <v>0</v>
      </c>
      <c r="AM64" s="285">
        <f t="shared" si="13"/>
        <v>0</v>
      </c>
      <c r="AN64" s="124"/>
      <c r="AO64" s="281"/>
      <c r="AP64" s="281"/>
      <c r="AQ64" s="124"/>
      <c r="AR64" s="282">
        <f t="shared" si="14"/>
        <v>0</v>
      </c>
      <c r="AS64" s="283">
        <f t="shared" si="15"/>
        <v>0</v>
      </c>
      <c r="AT64" s="283">
        <f t="shared" si="15"/>
        <v>0</v>
      </c>
      <c r="AU64" s="284">
        <f t="shared" si="15"/>
        <v>0</v>
      </c>
      <c r="AV64" s="285">
        <f t="shared" si="16"/>
        <v>0</v>
      </c>
    </row>
    <row r="65" spans="1:48">
      <c r="A65" s="31">
        <f t="shared" si="17"/>
        <v>50</v>
      </c>
      <c r="B65" s="38">
        <f>Metadata!C73</f>
        <v>0.19726271769053844</v>
      </c>
      <c r="C65" s="38">
        <f>Metadata!G73</f>
        <v>0.49548478997661716</v>
      </c>
      <c r="D65" s="280"/>
      <c r="E65" s="281"/>
      <c r="F65" s="281"/>
      <c r="G65" s="124"/>
      <c r="H65" s="282">
        <f t="shared" si="18"/>
        <v>0</v>
      </c>
      <c r="I65" s="283">
        <f t="shared" si="19"/>
        <v>0</v>
      </c>
      <c r="J65" s="283">
        <f t="shared" si="3"/>
        <v>0</v>
      </c>
      <c r="K65" s="284">
        <f t="shared" si="3"/>
        <v>0</v>
      </c>
      <c r="L65" s="285">
        <f t="shared" si="4"/>
        <v>0</v>
      </c>
      <c r="M65" s="124"/>
      <c r="N65" s="281"/>
      <c r="O65" s="281"/>
      <c r="P65" s="124"/>
      <c r="Q65" s="282">
        <f t="shared" si="5"/>
        <v>0</v>
      </c>
      <c r="R65" s="283">
        <f t="shared" si="6"/>
        <v>0</v>
      </c>
      <c r="S65" s="283">
        <f t="shared" si="6"/>
        <v>0</v>
      </c>
      <c r="T65" s="284">
        <f t="shared" si="6"/>
        <v>0</v>
      </c>
      <c r="U65" s="285">
        <f t="shared" si="7"/>
        <v>0</v>
      </c>
      <c r="V65" s="124"/>
      <c r="W65" s="281"/>
      <c r="X65" s="281"/>
      <c r="Y65" s="124"/>
      <c r="Z65" s="282">
        <f t="shared" si="8"/>
        <v>0</v>
      </c>
      <c r="AA65" s="283">
        <f t="shared" si="9"/>
        <v>0</v>
      </c>
      <c r="AB65" s="283">
        <f t="shared" si="9"/>
        <v>0</v>
      </c>
      <c r="AC65" s="284">
        <f t="shared" si="9"/>
        <v>0</v>
      </c>
      <c r="AD65" s="285">
        <f t="shared" si="10"/>
        <v>0</v>
      </c>
      <c r="AE65" s="124"/>
      <c r="AF65" s="281"/>
      <c r="AG65" s="281"/>
      <c r="AH65" s="124"/>
      <c r="AI65" s="282">
        <f t="shared" si="11"/>
        <v>0</v>
      </c>
      <c r="AJ65" s="283">
        <f t="shared" si="12"/>
        <v>0</v>
      </c>
      <c r="AK65" s="283">
        <f t="shared" si="12"/>
        <v>0</v>
      </c>
      <c r="AL65" s="284">
        <f t="shared" si="12"/>
        <v>0</v>
      </c>
      <c r="AM65" s="285">
        <f t="shared" si="13"/>
        <v>0</v>
      </c>
      <c r="AN65" s="124"/>
      <c r="AO65" s="281"/>
      <c r="AP65" s="281"/>
      <c r="AQ65" s="124"/>
      <c r="AR65" s="282">
        <f t="shared" si="14"/>
        <v>0</v>
      </c>
      <c r="AS65" s="283">
        <f t="shared" si="15"/>
        <v>0</v>
      </c>
      <c r="AT65" s="283">
        <f t="shared" si="15"/>
        <v>0</v>
      </c>
      <c r="AU65" s="284">
        <f t="shared" si="15"/>
        <v>0</v>
      </c>
      <c r="AV65" s="285">
        <f t="shared" si="16"/>
        <v>0</v>
      </c>
    </row>
    <row r="66" spans="1:48">
      <c r="A66" s="31">
        <f t="shared" si="17"/>
        <v>51</v>
      </c>
      <c r="B66" s="38">
        <f>Metadata!C74</f>
        <v>0.19151720164129946</v>
      </c>
      <c r="C66" s="38">
        <f>Metadata!G74</f>
        <v>0.48919375824557898</v>
      </c>
      <c r="D66" s="280"/>
      <c r="E66" s="281"/>
      <c r="F66" s="281"/>
      <c r="G66" s="124"/>
      <c r="H66" s="282">
        <f t="shared" si="18"/>
        <v>0</v>
      </c>
      <c r="I66" s="283">
        <f t="shared" si="19"/>
        <v>0</v>
      </c>
      <c r="J66" s="283">
        <f t="shared" si="3"/>
        <v>0</v>
      </c>
      <c r="K66" s="284">
        <f t="shared" si="3"/>
        <v>0</v>
      </c>
      <c r="L66" s="285">
        <f t="shared" si="4"/>
        <v>0</v>
      </c>
      <c r="M66" s="124"/>
      <c r="N66" s="281"/>
      <c r="O66" s="281"/>
      <c r="P66" s="124"/>
      <c r="Q66" s="282">
        <f t="shared" si="5"/>
        <v>0</v>
      </c>
      <c r="R66" s="283">
        <f t="shared" si="6"/>
        <v>0</v>
      </c>
      <c r="S66" s="283">
        <f t="shared" si="6"/>
        <v>0</v>
      </c>
      <c r="T66" s="284">
        <f t="shared" si="6"/>
        <v>0</v>
      </c>
      <c r="U66" s="285">
        <f t="shared" si="7"/>
        <v>0</v>
      </c>
      <c r="V66" s="124"/>
      <c r="W66" s="281"/>
      <c r="X66" s="281"/>
      <c r="Y66" s="124"/>
      <c r="Z66" s="282">
        <f t="shared" si="8"/>
        <v>0</v>
      </c>
      <c r="AA66" s="283">
        <f t="shared" si="9"/>
        <v>0</v>
      </c>
      <c r="AB66" s="283">
        <f t="shared" si="9"/>
        <v>0</v>
      </c>
      <c r="AC66" s="284">
        <f t="shared" si="9"/>
        <v>0</v>
      </c>
      <c r="AD66" s="285">
        <f t="shared" si="10"/>
        <v>0</v>
      </c>
      <c r="AE66" s="124"/>
      <c r="AF66" s="281"/>
      <c r="AG66" s="281"/>
      <c r="AH66" s="124"/>
      <c r="AI66" s="282">
        <f t="shared" si="11"/>
        <v>0</v>
      </c>
      <c r="AJ66" s="283">
        <f t="shared" si="12"/>
        <v>0</v>
      </c>
      <c r="AK66" s="283">
        <f t="shared" si="12"/>
        <v>0</v>
      </c>
      <c r="AL66" s="284">
        <f t="shared" si="12"/>
        <v>0</v>
      </c>
      <c r="AM66" s="285">
        <f t="shared" si="13"/>
        <v>0</v>
      </c>
      <c r="AN66" s="124"/>
      <c r="AO66" s="281"/>
      <c r="AP66" s="281"/>
      <c r="AQ66" s="124"/>
      <c r="AR66" s="282">
        <f t="shared" si="14"/>
        <v>0</v>
      </c>
      <c r="AS66" s="283">
        <f t="shared" si="15"/>
        <v>0</v>
      </c>
      <c r="AT66" s="283">
        <f t="shared" si="15"/>
        <v>0</v>
      </c>
      <c r="AU66" s="284">
        <f t="shared" si="15"/>
        <v>0</v>
      </c>
      <c r="AV66" s="285">
        <f t="shared" si="16"/>
        <v>0</v>
      </c>
    </row>
    <row r="67" spans="1:48">
      <c r="A67" s="31">
        <f t="shared" si="17"/>
        <v>52</v>
      </c>
      <c r="B67" s="38">
        <f>Metadata!C75</f>
        <v>0.18593903071970821</v>
      </c>
      <c r="C67" s="38">
        <f>Metadata!G75</f>
        <v>0.4829826019840639</v>
      </c>
      <c r="D67" s="280"/>
      <c r="E67" s="281"/>
      <c r="F67" s="281"/>
      <c r="G67" s="124"/>
      <c r="H67" s="282">
        <f t="shared" si="18"/>
        <v>0</v>
      </c>
      <c r="I67" s="283">
        <f t="shared" si="19"/>
        <v>0</v>
      </c>
      <c r="J67" s="283">
        <f t="shared" si="3"/>
        <v>0</v>
      </c>
      <c r="K67" s="284">
        <f t="shared" si="3"/>
        <v>0</v>
      </c>
      <c r="L67" s="285">
        <f t="shared" si="4"/>
        <v>0</v>
      </c>
      <c r="M67" s="124"/>
      <c r="N67" s="281"/>
      <c r="O67" s="281"/>
      <c r="P67" s="124"/>
      <c r="Q67" s="282">
        <f t="shared" si="5"/>
        <v>0</v>
      </c>
      <c r="R67" s="283">
        <f t="shared" si="6"/>
        <v>0</v>
      </c>
      <c r="S67" s="283">
        <f t="shared" si="6"/>
        <v>0</v>
      </c>
      <c r="T67" s="284">
        <f t="shared" si="6"/>
        <v>0</v>
      </c>
      <c r="U67" s="285">
        <f t="shared" si="7"/>
        <v>0</v>
      </c>
      <c r="V67" s="124"/>
      <c r="W67" s="281"/>
      <c r="X67" s="281"/>
      <c r="Y67" s="124"/>
      <c r="Z67" s="282">
        <f t="shared" si="8"/>
        <v>0</v>
      </c>
      <c r="AA67" s="283">
        <f t="shared" si="9"/>
        <v>0</v>
      </c>
      <c r="AB67" s="283">
        <f t="shared" si="9"/>
        <v>0</v>
      </c>
      <c r="AC67" s="284">
        <f t="shared" si="9"/>
        <v>0</v>
      </c>
      <c r="AD67" s="285">
        <f t="shared" si="10"/>
        <v>0</v>
      </c>
      <c r="AE67" s="124"/>
      <c r="AF67" s="281"/>
      <c r="AG67" s="281"/>
      <c r="AH67" s="124"/>
      <c r="AI67" s="282">
        <f t="shared" si="11"/>
        <v>0</v>
      </c>
      <c r="AJ67" s="283">
        <f t="shared" si="12"/>
        <v>0</v>
      </c>
      <c r="AK67" s="283">
        <f t="shared" si="12"/>
        <v>0</v>
      </c>
      <c r="AL67" s="284">
        <f t="shared" si="12"/>
        <v>0</v>
      </c>
      <c r="AM67" s="285">
        <f t="shared" si="13"/>
        <v>0</v>
      </c>
      <c r="AN67" s="124"/>
      <c r="AO67" s="281"/>
      <c r="AP67" s="281"/>
      <c r="AQ67" s="124"/>
      <c r="AR67" s="282">
        <f t="shared" si="14"/>
        <v>0</v>
      </c>
      <c r="AS67" s="283">
        <f t="shared" si="15"/>
        <v>0</v>
      </c>
      <c r="AT67" s="283">
        <f t="shared" si="15"/>
        <v>0</v>
      </c>
      <c r="AU67" s="284">
        <f t="shared" si="15"/>
        <v>0</v>
      </c>
      <c r="AV67" s="285">
        <f t="shared" si="16"/>
        <v>0</v>
      </c>
    </row>
    <row r="68" spans="1:48">
      <c r="A68" s="31">
        <f t="shared" si="17"/>
        <v>53</v>
      </c>
      <c r="B68" s="38">
        <f>Metadata!C76</f>
        <v>0.18052333079583321</v>
      </c>
      <c r="C68" s="38">
        <f>Metadata!G76</f>
        <v>0.47685030703558623</v>
      </c>
      <c r="D68" s="280"/>
      <c r="E68" s="281"/>
      <c r="F68" s="281"/>
      <c r="G68" s="124"/>
      <c r="H68" s="282">
        <f t="shared" si="18"/>
        <v>0</v>
      </c>
      <c r="I68" s="283">
        <f t="shared" si="19"/>
        <v>0</v>
      </c>
      <c r="J68" s="283">
        <f t="shared" si="3"/>
        <v>0</v>
      </c>
      <c r="K68" s="284">
        <f t="shared" si="3"/>
        <v>0</v>
      </c>
      <c r="L68" s="285">
        <f t="shared" si="4"/>
        <v>0</v>
      </c>
      <c r="M68" s="124"/>
      <c r="N68" s="281"/>
      <c r="O68" s="281"/>
      <c r="P68" s="124"/>
      <c r="Q68" s="282">
        <f t="shared" si="5"/>
        <v>0</v>
      </c>
      <c r="R68" s="283">
        <f t="shared" si="6"/>
        <v>0</v>
      </c>
      <c r="S68" s="283">
        <f t="shared" si="6"/>
        <v>0</v>
      </c>
      <c r="T68" s="284">
        <f t="shared" si="6"/>
        <v>0</v>
      </c>
      <c r="U68" s="285">
        <f t="shared" si="7"/>
        <v>0</v>
      </c>
      <c r="V68" s="124"/>
      <c r="W68" s="281"/>
      <c r="X68" s="281"/>
      <c r="Y68" s="124"/>
      <c r="Z68" s="282">
        <f t="shared" si="8"/>
        <v>0</v>
      </c>
      <c r="AA68" s="283">
        <f t="shared" si="9"/>
        <v>0</v>
      </c>
      <c r="AB68" s="283">
        <f t="shared" si="9"/>
        <v>0</v>
      </c>
      <c r="AC68" s="284">
        <f t="shared" si="9"/>
        <v>0</v>
      </c>
      <c r="AD68" s="285">
        <f t="shared" si="10"/>
        <v>0</v>
      </c>
      <c r="AE68" s="124"/>
      <c r="AF68" s="281"/>
      <c r="AG68" s="281"/>
      <c r="AH68" s="124"/>
      <c r="AI68" s="282">
        <f t="shared" si="11"/>
        <v>0</v>
      </c>
      <c r="AJ68" s="283">
        <f t="shared" si="12"/>
        <v>0</v>
      </c>
      <c r="AK68" s="283">
        <f t="shared" si="12"/>
        <v>0</v>
      </c>
      <c r="AL68" s="284">
        <f t="shared" si="12"/>
        <v>0</v>
      </c>
      <c r="AM68" s="285">
        <f t="shared" si="13"/>
        <v>0</v>
      </c>
      <c r="AN68" s="124"/>
      <c r="AO68" s="281"/>
      <c r="AP68" s="281"/>
      <c r="AQ68" s="124"/>
      <c r="AR68" s="282">
        <f t="shared" si="14"/>
        <v>0</v>
      </c>
      <c r="AS68" s="283">
        <f t="shared" si="15"/>
        <v>0</v>
      </c>
      <c r="AT68" s="283">
        <f t="shared" si="15"/>
        <v>0</v>
      </c>
      <c r="AU68" s="284">
        <f t="shared" si="15"/>
        <v>0</v>
      </c>
      <c r="AV68" s="285">
        <f t="shared" si="16"/>
        <v>0</v>
      </c>
    </row>
    <row r="69" spans="1:48">
      <c r="A69" s="31">
        <f t="shared" si="17"/>
        <v>54</v>
      </c>
      <c r="B69" s="38">
        <f>Metadata!C77</f>
        <v>0.17526536970469245</v>
      </c>
      <c r="C69" s="38">
        <f>Metadata!G77</f>
        <v>0.47079587212012142</v>
      </c>
      <c r="D69" s="280"/>
      <c r="E69" s="281"/>
      <c r="F69" s="281"/>
      <c r="G69" s="124"/>
      <c r="H69" s="282">
        <f t="shared" si="18"/>
        <v>0</v>
      </c>
      <c r="I69" s="283">
        <f t="shared" si="19"/>
        <v>0</v>
      </c>
      <c r="J69" s="283">
        <f t="shared" si="3"/>
        <v>0</v>
      </c>
      <c r="K69" s="284">
        <f t="shared" si="3"/>
        <v>0</v>
      </c>
      <c r="L69" s="285">
        <f t="shared" si="4"/>
        <v>0</v>
      </c>
      <c r="M69" s="124"/>
      <c r="N69" s="281"/>
      <c r="O69" s="281"/>
      <c r="P69" s="124"/>
      <c r="Q69" s="282">
        <f t="shared" si="5"/>
        <v>0</v>
      </c>
      <c r="R69" s="283">
        <f t="shared" si="6"/>
        <v>0</v>
      </c>
      <c r="S69" s="283">
        <f t="shared" si="6"/>
        <v>0</v>
      </c>
      <c r="T69" s="284">
        <f t="shared" si="6"/>
        <v>0</v>
      </c>
      <c r="U69" s="285">
        <f t="shared" si="7"/>
        <v>0</v>
      </c>
      <c r="V69" s="124"/>
      <c r="W69" s="281"/>
      <c r="X69" s="281"/>
      <c r="Y69" s="124"/>
      <c r="Z69" s="282">
        <f t="shared" si="8"/>
        <v>0</v>
      </c>
      <c r="AA69" s="283">
        <f t="shared" si="9"/>
        <v>0</v>
      </c>
      <c r="AB69" s="283">
        <f t="shared" si="9"/>
        <v>0</v>
      </c>
      <c r="AC69" s="284">
        <f t="shared" si="9"/>
        <v>0</v>
      </c>
      <c r="AD69" s="285">
        <f t="shared" si="10"/>
        <v>0</v>
      </c>
      <c r="AE69" s="124"/>
      <c r="AF69" s="281"/>
      <c r="AG69" s="281"/>
      <c r="AH69" s="124"/>
      <c r="AI69" s="282">
        <f t="shared" si="11"/>
        <v>0</v>
      </c>
      <c r="AJ69" s="283">
        <f t="shared" si="12"/>
        <v>0</v>
      </c>
      <c r="AK69" s="283">
        <f t="shared" si="12"/>
        <v>0</v>
      </c>
      <c r="AL69" s="284">
        <f t="shared" si="12"/>
        <v>0</v>
      </c>
      <c r="AM69" s="285">
        <f t="shared" si="13"/>
        <v>0</v>
      </c>
      <c r="AN69" s="124"/>
      <c r="AO69" s="281"/>
      <c r="AP69" s="281"/>
      <c r="AQ69" s="124"/>
      <c r="AR69" s="282">
        <f t="shared" si="14"/>
        <v>0</v>
      </c>
      <c r="AS69" s="283">
        <f t="shared" si="15"/>
        <v>0</v>
      </c>
      <c r="AT69" s="283">
        <f t="shared" si="15"/>
        <v>0</v>
      </c>
      <c r="AU69" s="284">
        <f t="shared" si="15"/>
        <v>0</v>
      </c>
      <c r="AV69" s="285">
        <f t="shared" si="16"/>
        <v>0</v>
      </c>
    </row>
    <row r="70" spans="1:48">
      <c r="A70" s="31">
        <f t="shared" si="17"/>
        <v>55</v>
      </c>
      <c r="B70" s="38">
        <f>Metadata!C78</f>
        <v>0.17016055311135189</v>
      </c>
      <c r="C70" s="38">
        <f>Metadata!G78</f>
        <v>0.46481830867061724</v>
      </c>
      <c r="D70" s="280"/>
      <c r="E70" s="281"/>
      <c r="F70" s="281"/>
      <c r="G70" s="124"/>
      <c r="H70" s="282">
        <f t="shared" si="18"/>
        <v>0</v>
      </c>
      <c r="I70" s="283">
        <f t="shared" si="19"/>
        <v>0</v>
      </c>
      <c r="J70" s="283">
        <f t="shared" si="3"/>
        <v>0</v>
      </c>
      <c r="K70" s="284">
        <f t="shared" si="3"/>
        <v>0</v>
      </c>
      <c r="L70" s="285">
        <f t="shared" si="4"/>
        <v>0</v>
      </c>
      <c r="M70" s="124"/>
      <c r="N70" s="281"/>
      <c r="O70" s="281"/>
      <c r="P70" s="124"/>
      <c r="Q70" s="282">
        <f t="shared" si="5"/>
        <v>0</v>
      </c>
      <c r="R70" s="283">
        <f t="shared" si="6"/>
        <v>0</v>
      </c>
      <c r="S70" s="283">
        <f t="shared" si="6"/>
        <v>0</v>
      </c>
      <c r="T70" s="284">
        <f t="shared" si="6"/>
        <v>0</v>
      </c>
      <c r="U70" s="285">
        <f t="shared" si="7"/>
        <v>0</v>
      </c>
      <c r="V70" s="124"/>
      <c r="W70" s="281"/>
      <c r="X70" s="281"/>
      <c r="Y70" s="124"/>
      <c r="Z70" s="282">
        <f t="shared" si="8"/>
        <v>0</v>
      </c>
      <c r="AA70" s="283">
        <f t="shared" si="9"/>
        <v>0</v>
      </c>
      <c r="AB70" s="283">
        <f t="shared" si="9"/>
        <v>0</v>
      </c>
      <c r="AC70" s="284">
        <f t="shared" si="9"/>
        <v>0</v>
      </c>
      <c r="AD70" s="285">
        <f t="shared" si="10"/>
        <v>0</v>
      </c>
      <c r="AE70" s="124"/>
      <c r="AF70" s="281"/>
      <c r="AG70" s="281"/>
      <c r="AH70" s="124"/>
      <c r="AI70" s="282">
        <f t="shared" si="11"/>
        <v>0</v>
      </c>
      <c r="AJ70" s="283">
        <f t="shared" si="12"/>
        <v>0</v>
      </c>
      <c r="AK70" s="283">
        <f t="shared" si="12"/>
        <v>0</v>
      </c>
      <c r="AL70" s="284">
        <f t="shared" si="12"/>
        <v>0</v>
      </c>
      <c r="AM70" s="285">
        <f t="shared" si="13"/>
        <v>0</v>
      </c>
      <c r="AN70" s="124"/>
      <c r="AO70" s="281"/>
      <c r="AP70" s="281"/>
      <c r="AQ70" s="124"/>
      <c r="AR70" s="282">
        <f t="shared" si="14"/>
        <v>0</v>
      </c>
      <c r="AS70" s="283">
        <f t="shared" si="15"/>
        <v>0</v>
      </c>
      <c r="AT70" s="283">
        <f t="shared" si="15"/>
        <v>0</v>
      </c>
      <c r="AU70" s="284">
        <f t="shared" si="15"/>
        <v>0</v>
      </c>
      <c r="AV70" s="285">
        <f t="shared" si="16"/>
        <v>0</v>
      </c>
    </row>
    <row r="71" spans="1:48">
      <c r="A71" s="31">
        <f t="shared" si="17"/>
        <v>56</v>
      </c>
      <c r="B71" s="38">
        <f>Metadata!C79</f>
        <v>0.16520442049645814</v>
      </c>
      <c r="C71" s="38">
        <f>Metadata!G79</f>
        <v>0.45891664067158067</v>
      </c>
      <c r="D71" s="280"/>
      <c r="E71" s="281"/>
      <c r="F71" s="281"/>
      <c r="G71" s="124"/>
      <c r="H71" s="282">
        <f t="shared" si="18"/>
        <v>0</v>
      </c>
      <c r="I71" s="283">
        <f t="shared" si="19"/>
        <v>0</v>
      </c>
      <c r="J71" s="283">
        <f t="shared" si="3"/>
        <v>0</v>
      </c>
      <c r="K71" s="284">
        <f t="shared" si="3"/>
        <v>0</v>
      </c>
      <c r="L71" s="285">
        <f t="shared" si="4"/>
        <v>0</v>
      </c>
      <c r="M71" s="124"/>
      <c r="N71" s="281"/>
      <c r="O71" s="281"/>
      <c r="P71" s="124"/>
      <c r="Q71" s="282">
        <f t="shared" si="5"/>
        <v>0</v>
      </c>
      <c r="R71" s="283">
        <f t="shared" si="6"/>
        <v>0</v>
      </c>
      <c r="S71" s="283">
        <f t="shared" si="6"/>
        <v>0</v>
      </c>
      <c r="T71" s="284">
        <f t="shared" si="6"/>
        <v>0</v>
      </c>
      <c r="U71" s="285">
        <f t="shared" si="7"/>
        <v>0</v>
      </c>
      <c r="V71" s="124"/>
      <c r="W71" s="281"/>
      <c r="X71" s="281"/>
      <c r="Y71" s="124"/>
      <c r="Z71" s="282">
        <f t="shared" si="8"/>
        <v>0</v>
      </c>
      <c r="AA71" s="283">
        <f t="shared" si="9"/>
        <v>0</v>
      </c>
      <c r="AB71" s="283">
        <f t="shared" si="9"/>
        <v>0</v>
      </c>
      <c r="AC71" s="284">
        <f t="shared" si="9"/>
        <v>0</v>
      </c>
      <c r="AD71" s="285">
        <f t="shared" si="10"/>
        <v>0</v>
      </c>
      <c r="AE71" s="124"/>
      <c r="AF71" s="281"/>
      <c r="AG71" s="281"/>
      <c r="AH71" s="124"/>
      <c r="AI71" s="282">
        <f t="shared" si="11"/>
        <v>0</v>
      </c>
      <c r="AJ71" s="283">
        <f t="shared" si="12"/>
        <v>0</v>
      </c>
      <c r="AK71" s="283">
        <f t="shared" si="12"/>
        <v>0</v>
      </c>
      <c r="AL71" s="284">
        <f t="shared" si="12"/>
        <v>0</v>
      </c>
      <c r="AM71" s="285">
        <f t="shared" si="13"/>
        <v>0</v>
      </c>
      <c r="AN71" s="124"/>
      <c r="AO71" s="281"/>
      <c r="AP71" s="281"/>
      <c r="AQ71" s="124"/>
      <c r="AR71" s="282">
        <f t="shared" si="14"/>
        <v>0</v>
      </c>
      <c r="AS71" s="283">
        <f t="shared" si="15"/>
        <v>0</v>
      </c>
      <c r="AT71" s="283">
        <f t="shared" si="15"/>
        <v>0</v>
      </c>
      <c r="AU71" s="284">
        <f t="shared" si="15"/>
        <v>0</v>
      </c>
      <c r="AV71" s="285">
        <f t="shared" si="16"/>
        <v>0</v>
      </c>
    </row>
    <row r="72" spans="1:48">
      <c r="A72" s="31">
        <f t="shared" si="17"/>
        <v>57</v>
      </c>
      <c r="B72" s="38">
        <f>Metadata!C80</f>
        <v>0.16039264125869723</v>
      </c>
      <c r="C72" s="38">
        <f>Metadata!G80</f>
        <v>0.45308990449971431</v>
      </c>
      <c r="D72" s="280"/>
      <c r="E72" s="281"/>
      <c r="F72" s="281"/>
      <c r="G72" s="124"/>
      <c r="H72" s="282">
        <f t="shared" si="18"/>
        <v>0</v>
      </c>
      <c r="I72" s="283">
        <f t="shared" si="19"/>
        <v>0</v>
      </c>
      <c r="J72" s="283">
        <f t="shared" si="3"/>
        <v>0</v>
      </c>
      <c r="K72" s="284">
        <f t="shared" si="3"/>
        <v>0</v>
      </c>
      <c r="L72" s="285">
        <f t="shared" si="4"/>
        <v>0</v>
      </c>
      <c r="M72" s="124"/>
      <c r="N72" s="281"/>
      <c r="O72" s="281"/>
      <c r="P72" s="124"/>
      <c r="Q72" s="282">
        <f t="shared" si="5"/>
        <v>0</v>
      </c>
      <c r="R72" s="283">
        <f t="shared" si="6"/>
        <v>0</v>
      </c>
      <c r="S72" s="283">
        <f t="shared" si="6"/>
        <v>0</v>
      </c>
      <c r="T72" s="284">
        <f t="shared" si="6"/>
        <v>0</v>
      </c>
      <c r="U72" s="285">
        <f t="shared" si="7"/>
        <v>0</v>
      </c>
      <c r="V72" s="124"/>
      <c r="W72" s="281"/>
      <c r="X72" s="281"/>
      <c r="Y72" s="124"/>
      <c r="Z72" s="282">
        <f t="shared" si="8"/>
        <v>0</v>
      </c>
      <c r="AA72" s="283">
        <f t="shared" si="9"/>
        <v>0</v>
      </c>
      <c r="AB72" s="283">
        <f t="shared" si="9"/>
        <v>0</v>
      </c>
      <c r="AC72" s="284">
        <f t="shared" si="9"/>
        <v>0</v>
      </c>
      <c r="AD72" s="285">
        <f t="shared" si="10"/>
        <v>0</v>
      </c>
      <c r="AE72" s="124"/>
      <c r="AF72" s="281"/>
      <c r="AG72" s="281"/>
      <c r="AH72" s="124"/>
      <c r="AI72" s="282">
        <f t="shared" si="11"/>
        <v>0</v>
      </c>
      <c r="AJ72" s="283">
        <f t="shared" si="12"/>
        <v>0</v>
      </c>
      <c r="AK72" s="283">
        <f t="shared" si="12"/>
        <v>0</v>
      </c>
      <c r="AL72" s="284">
        <f t="shared" si="12"/>
        <v>0</v>
      </c>
      <c r="AM72" s="285">
        <f t="shared" si="13"/>
        <v>0</v>
      </c>
      <c r="AN72" s="124"/>
      <c r="AO72" s="281"/>
      <c r="AP72" s="281"/>
      <c r="AQ72" s="124"/>
      <c r="AR72" s="282">
        <f t="shared" si="14"/>
        <v>0</v>
      </c>
      <c r="AS72" s="283">
        <f t="shared" si="15"/>
        <v>0</v>
      </c>
      <c r="AT72" s="283">
        <f t="shared" si="15"/>
        <v>0</v>
      </c>
      <c r="AU72" s="284">
        <f t="shared" si="15"/>
        <v>0</v>
      </c>
      <c r="AV72" s="285">
        <f t="shared" si="16"/>
        <v>0</v>
      </c>
    </row>
    <row r="73" spans="1:48">
      <c r="A73" s="31">
        <f t="shared" si="17"/>
        <v>58</v>
      </c>
      <c r="B73" s="38">
        <f>Metadata!C81</f>
        <v>0.15572101093077401</v>
      </c>
      <c r="C73" s="38">
        <f>Metadata!G81</f>
        <v>0.4473371487665761</v>
      </c>
      <c r="D73" s="280"/>
      <c r="E73" s="281"/>
      <c r="F73" s="281"/>
      <c r="G73" s="124"/>
      <c r="H73" s="282">
        <f t="shared" si="18"/>
        <v>0</v>
      </c>
      <c r="I73" s="283">
        <f t="shared" si="19"/>
        <v>0</v>
      </c>
      <c r="J73" s="283">
        <f t="shared" si="3"/>
        <v>0</v>
      </c>
      <c r="K73" s="284">
        <f t="shared" si="3"/>
        <v>0</v>
      </c>
      <c r="L73" s="285">
        <f t="shared" si="4"/>
        <v>0</v>
      </c>
      <c r="M73" s="124"/>
      <c r="N73" s="281"/>
      <c r="O73" s="281"/>
      <c r="P73" s="124"/>
      <c r="Q73" s="282">
        <f t="shared" si="5"/>
        <v>0</v>
      </c>
      <c r="R73" s="283">
        <f t="shared" si="6"/>
        <v>0</v>
      </c>
      <c r="S73" s="283">
        <f t="shared" si="6"/>
        <v>0</v>
      </c>
      <c r="T73" s="284">
        <f t="shared" si="6"/>
        <v>0</v>
      </c>
      <c r="U73" s="285">
        <f t="shared" si="7"/>
        <v>0</v>
      </c>
      <c r="V73" s="124"/>
      <c r="W73" s="281"/>
      <c r="X73" s="281"/>
      <c r="Y73" s="124"/>
      <c r="Z73" s="282">
        <f t="shared" si="8"/>
        <v>0</v>
      </c>
      <c r="AA73" s="283">
        <f t="shared" si="9"/>
        <v>0</v>
      </c>
      <c r="AB73" s="283">
        <f t="shared" si="9"/>
        <v>0</v>
      </c>
      <c r="AC73" s="284">
        <f t="shared" si="9"/>
        <v>0</v>
      </c>
      <c r="AD73" s="285">
        <f t="shared" si="10"/>
        <v>0</v>
      </c>
      <c r="AE73" s="124"/>
      <c r="AF73" s="281"/>
      <c r="AG73" s="281"/>
      <c r="AH73" s="124"/>
      <c r="AI73" s="282">
        <f t="shared" si="11"/>
        <v>0</v>
      </c>
      <c r="AJ73" s="283">
        <f t="shared" si="12"/>
        <v>0</v>
      </c>
      <c r="AK73" s="283">
        <f t="shared" si="12"/>
        <v>0</v>
      </c>
      <c r="AL73" s="284">
        <f t="shared" si="12"/>
        <v>0</v>
      </c>
      <c r="AM73" s="285">
        <f t="shared" si="13"/>
        <v>0</v>
      </c>
      <c r="AN73" s="124"/>
      <c r="AO73" s="281"/>
      <c r="AP73" s="281"/>
      <c r="AQ73" s="124"/>
      <c r="AR73" s="282">
        <f t="shared" si="14"/>
        <v>0</v>
      </c>
      <c r="AS73" s="283">
        <f t="shared" si="15"/>
        <v>0</v>
      </c>
      <c r="AT73" s="283">
        <f t="shared" si="15"/>
        <v>0</v>
      </c>
      <c r="AU73" s="284">
        <f t="shared" si="15"/>
        <v>0</v>
      </c>
      <c r="AV73" s="285">
        <f t="shared" si="16"/>
        <v>0</v>
      </c>
    </row>
    <row r="74" spans="1:48">
      <c r="A74" s="31">
        <f t="shared" si="17"/>
        <v>59</v>
      </c>
      <c r="B74" s="38">
        <f>Metadata!C82</f>
        <v>0.15118544750560584</v>
      </c>
      <c r="C74" s="38">
        <f>Metadata!G82</f>
        <v>0.44165743416323683</v>
      </c>
      <c r="D74" s="280"/>
      <c r="E74" s="281"/>
      <c r="F74" s="281"/>
      <c r="G74" s="124"/>
      <c r="H74" s="282">
        <f t="shared" si="18"/>
        <v>0</v>
      </c>
      <c r="I74" s="283">
        <f t="shared" si="19"/>
        <v>0</v>
      </c>
      <c r="J74" s="283">
        <f t="shared" si="3"/>
        <v>0</v>
      </c>
      <c r="K74" s="284">
        <f t="shared" si="3"/>
        <v>0</v>
      </c>
      <c r="L74" s="285">
        <f t="shared" si="4"/>
        <v>0</v>
      </c>
      <c r="M74" s="124"/>
      <c r="N74" s="281"/>
      <c r="O74" s="281"/>
      <c r="P74" s="124"/>
      <c r="Q74" s="282">
        <f t="shared" si="5"/>
        <v>0</v>
      </c>
      <c r="R74" s="283">
        <f t="shared" si="6"/>
        <v>0</v>
      </c>
      <c r="S74" s="283">
        <f t="shared" si="6"/>
        <v>0</v>
      </c>
      <c r="T74" s="284">
        <f t="shared" si="6"/>
        <v>0</v>
      </c>
      <c r="U74" s="285">
        <f t="shared" si="7"/>
        <v>0</v>
      </c>
      <c r="V74" s="124"/>
      <c r="W74" s="281"/>
      <c r="X74" s="281"/>
      <c r="Y74" s="124"/>
      <c r="Z74" s="282">
        <f t="shared" si="8"/>
        <v>0</v>
      </c>
      <c r="AA74" s="283">
        <f t="shared" si="9"/>
        <v>0</v>
      </c>
      <c r="AB74" s="283">
        <f t="shared" si="9"/>
        <v>0</v>
      </c>
      <c r="AC74" s="284">
        <f t="shared" si="9"/>
        <v>0</v>
      </c>
      <c r="AD74" s="285">
        <f t="shared" si="10"/>
        <v>0</v>
      </c>
      <c r="AE74" s="124"/>
      <c r="AF74" s="281"/>
      <c r="AG74" s="281"/>
      <c r="AH74" s="124"/>
      <c r="AI74" s="282">
        <f t="shared" si="11"/>
        <v>0</v>
      </c>
      <c r="AJ74" s="283">
        <f t="shared" si="12"/>
        <v>0</v>
      </c>
      <c r="AK74" s="283">
        <f t="shared" si="12"/>
        <v>0</v>
      </c>
      <c r="AL74" s="284">
        <f t="shared" si="12"/>
        <v>0</v>
      </c>
      <c r="AM74" s="285">
        <f t="shared" si="13"/>
        <v>0</v>
      </c>
      <c r="AN74" s="124"/>
      <c r="AO74" s="281"/>
      <c r="AP74" s="281"/>
      <c r="AQ74" s="124"/>
      <c r="AR74" s="282">
        <f t="shared" si="14"/>
        <v>0</v>
      </c>
      <c r="AS74" s="283">
        <f t="shared" si="15"/>
        <v>0</v>
      </c>
      <c r="AT74" s="283">
        <f t="shared" si="15"/>
        <v>0</v>
      </c>
      <c r="AU74" s="284">
        <f t="shared" si="15"/>
        <v>0</v>
      </c>
      <c r="AV74" s="285">
        <f t="shared" si="16"/>
        <v>0</v>
      </c>
    </row>
    <row r="75" spans="1:48">
      <c r="A75" s="31">
        <f t="shared" si="17"/>
        <v>60</v>
      </c>
      <c r="B75" s="38">
        <f>Metadata!C83</f>
        <v>0.14678198786952024</v>
      </c>
      <c r="C75" s="38">
        <f>Metadata!G83</f>
        <v>0.43604983330690994</v>
      </c>
      <c r="D75" s="280"/>
      <c r="E75" s="281"/>
      <c r="F75" s="281"/>
      <c r="G75" s="124"/>
      <c r="H75" s="282">
        <f t="shared" si="18"/>
        <v>0</v>
      </c>
      <c r="I75" s="283">
        <f t="shared" si="19"/>
        <v>0</v>
      </c>
      <c r="J75" s="283">
        <f t="shared" si="3"/>
        <v>0</v>
      </c>
      <c r="K75" s="284">
        <f t="shared" si="3"/>
        <v>0</v>
      </c>
      <c r="L75" s="285">
        <f t="shared" si="4"/>
        <v>0</v>
      </c>
      <c r="M75" s="124"/>
      <c r="N75" s="281"/>
      <c r="O75" s="281"/>
      <c r="P75" s="124"/>
      <c r="Q75" s="282">
        <f t="shared" si="5"/>
        <v>0</v>
      </c>
      <c r="R75" s="283">
        <f t="shared" si="6"/>
        <v>0</v>
      </c>
      <c r="S75" s="283">
        <f t="shared" si="6"/>
        <v>0</v>
      </c>
      <c r="T75" s="284">
        <f t="shared" si="6"/>
        <v>0</v>
      </c>
      <c r="U75" s="285">
        <f t="shared" si="7"/>
        <v>0</v>
      </c>
      <c r="V75" s="124"/>
      <c r="W75" s="281"/>
      <c r="X75" s="281"/>
      <c r="Y75" s="124"/>
      <c r="Z75" s="282">
        <f t="shared" si="8"/>
        <v>0</v>
      </c>
      <c r="AA75" s="283">
        <f t="shared" si="9"/>
        <v>0</v>
      </c>
      <c r="AB75" s="283">
        <f t="shared" si="9"/>
        <v>0</v>
      </c>
      <c r="AC75" s="284">
        <f t="shared" si="9"/>
        <v>0</v>
      </c>
      <c r="AD75" s="285">
        <f t="shared" si="10"/>
        <v>0</v>
      </c>
      <c r="AE75" s="124"/>
      <c r="AF75" s="281"/>
      <c r="AG75" s="281"/>
      <c r="AH75" s="124"/>
      <c r="AI75" s="282">
        <f t="shared" si="11"/>
        <v>0</v>
      </c>
      <c r="AJ75" s="283">
        <f t="shared" si="12"/>
        <v>0</v>
      </c>
      <c r="AK75" s="283">
        <f t="shared" si="12"/>
        <v>0</v>
      </c>
      <c r="AL75" s="284">
        <f t="shared" si="12"/>
        <v>0</v>
      </c>
      <c r="AM75" s="285">
        <f t="shared" si="13"/>
        <v>0</v>
      </c>
      <c r="AN75" s="124"/>
      <c r="AO75" s="281"/>
      <c r="AP75" s="281"/>
      <c r="AQ75" s="124"/>
      <c r="AR75" s="282">
        <f t="shared" si="14"/>
        <v>0</v>
      </c>
      <c r="AS75" s="283">
        <f t="shared" si="15"/>
        <v>0</v>
      </c>
      <c r="AT75" s="283">
        <f t="shared" si="15"/>
        <v>0</v>
      </c>
      <c r="AU75" s="284">
        <f t="shared" si="15"/>
        <v>0</v>
      </c>
      <c r="AV75" s="285">
        <f t="shared" si="16"/>
        <v>0</v>
      </c>
    </row>
    <row r="76" spans="1:48">
      <c r="A76" s="31">
        <f t="shared" si="17"/>
        <v>61</v>
      </c>
      <c r="B76" s="38">
        <f>Metadata!C84</f>
        <v>0.14250678433934003</v>
      </c>
      <c r="C76" s="38">
        <f>Metadata!G84</f>
        <v>0.43051343058952857</v>
      </c>
      <c r="D76" s="280"/>
      <c r="E76" s="281"/>
      <c r="F76" s="281"/>
      <c r="G76" s="124"/>
      <c r="H76" s="282">
        <f t="shared" si="18"/>
        <v>0</v>
      </c>
      <c r="I76" s="283">
        <f t="shared" si="19"/>
        <v>0</v>
      </c>
      <c r="J76" s="283">
        <f t="shared" si="3"/>
        <v>0</v>
      </c>
      <c r="K76" s="284">
        <f t="shared" si="3"/>
        <v>0</v>
      </c>
      <c r="L76" s="285">
        <f t="shared" si="4"/>
        <v>0</v>
      </c>
      <c r="M76" s="124"/>
      <c r="N76" s="281"/>
      <c r="O76" s="281"/>
      <c r="P76" s="124"/>
      <c r="Q76" s="282">
        <f t="shared" si="5"/>
        <v>0</v>
      </c>
      <c r="R76" s="283">
        <f t="shared" si="6"/>
        <v>0</v>
      </c>
      <c r="S76" s="283">
        <f t="shared" si="6"/>
        <v>0</v>
      </c>
      <c r="T76" s="284">
        <f t="shared" si="6"/>
        <v>0</v>
      </c>
      <c r="U76" s="285">
        <f t="shared" si="7"/>
        <v>0</v>
      </c>
      <c r="V76" s="124"/>
      <c r="W76" s="281"/>
      <c r="X76" s="281"/>
      <c r="Y76" s="124"/>
      <c r="Z76" s="282">
        <f t="shared" si="8"/>
        <v>0</v>
      </c>
      <c r="AA76" s="283">
        <f t="shared" si="9"/>
        <v>0</v>
      </c>
      <c r="AB76" s="283">
        <f t="shared" si="9"/>
        <v>0</v>
      </c>
      <c r="AC76" s="284">
        <f t="shared" si="9"/>
        <v>0</v>
      </c>
      <c r="AD76" s="285">
        <f t="shared" si="10"/>
        <v>0</v>
      </c>
      <c r="AE76" s="124"/>
      <c r="AF76" s="281"/>
      <c r="AG76" s="281"/>
      <c r="AH76" s="124"/>
      <c r="AI76" s="282">
        <f t="shared" si="11"/>
        <v>0</v>
      </c>
      <c r="AJ76" s="283">
        <f t="shared" si="12"/>
        <v>0</v>
      </c>
      <c r="AK76" s="283">
        <f t="shared" si="12"/>
        <v>0</v>
      </c>
      <c r="AL76" s="284">
        <f t="shared" si="12"/>
        <v>0</v>
      </c>
      <c r="AM76" s="285">
        <f t="shared" si="13"/>
        <v>0</v>
      </c>
      <c r="AN76" s="124"/>
      <c r="AO76" s="281"/>
      <c r="AP76" s="281"/>
      <c r="AQ76" s="124"/>
      <c r="AR76" s="282">
        <f t="shared" si="14"/>
        <v>0</v>
      </c>
      <c r="AS76" s="283">
        <f t="shared" si="15"/>
        <v>0</v>
      </c>
      <c r="AT76" s="283">
        <f t="shared" si="15"/>
        <v>0</v>
      </c>
      <c r="AU76" s="284">
        <f t="shared" si="15"/>
        <v>0</v>
      </c>
      <c r="AV76" s="285">
        <f t="shared" si="16"/>
        <v>0</v>
      </c>
    </row>
    <row r="77" spans="1:48">
      <c r="A77" s="31">
        <f t="shared" si="17"/>
        <v>62</v>
      </c>
      <c r="B77" s="38">
        <f>Metadata!C85</f>
        <v>0.13835610130033013</v>
      </c>
      <c r="C77" s="38">
        <f>Metadata!G85</f>
        <v>0.4250473220282453</v>
      </c>
      <c r="D77" s="280"/>
      <c r="E77" s="281"/>
      <c r="F77" s="281"/>
      <c r="G77" s="124"/>
      <c r="H77" s="282">
        <f t="shared" si="18"/>
        <v>0</v>
      </c>
      <c r="I77" s="283">
        <f t="shared" si="19"/>
        <v>0</v>
      </c>
      <c r="J77" s="283">
        <f t="shared" si="3"/>
        <v>0</v>
      </c>
      <c r="K77" s="284">
        <f t="shared" si="3"/>
        <v>0</v>
      </c>
      <c r="L77" s="285">
        <f t="shared" si="4"/>
        <v>0</v>
      </c>
      <c r="M77" s="124"/>
      <c r="N77" s="281"/>
      <c r="O77" s="281"/>
      <c r="P77" s="124"/>
      <c r="Q77" s="282">
        <f t="shared" si="5"/>
        <v>0</v>
      </c>
      <c r="R77" s="283">
        <f t="shared" si="6"/>
        <v>0</v>
      </c>
      <c r="S77" s="283">
        <f t="shared" si="6"/>
        <v>0</v>
      </c>
      <c r="T77" s="284">
        <f t="shared" si="6"/>
        <v>0</v>
      </c>
      <c r="U77" s="285">
        <f t="shared" si="7"/>
        <v>0</v>
      </c>
      <c r="V77" s="124"/>
      <c r="W77" s="281"/>
      <c r="X77" s="281"/>
      <c r="Y77" s="124"/>
      <c r="Z77" s="282">
        <f t="shared" si="8"/>
        <v>0</v>
      </c>
      <c r="AA77" s="283">
        <f t="shared" si="9"/>
        <v>0</v>
      </c>
      <c r="AB77" s="283">
        <f t="shared" si="9"/>
        <v>0</v>
      </c>
      <c r="AC77" s="284">
        <f t="shared" si="9"/>
        <v>0</v>
      </c>
      <c r="AD77" s="285">
        <f t="shared" si="10"/>
        <v>0</v>
      </c>
      <c r="AE77" s="124"/>
      <c r="AF77" s="281"/>
      <c r="AG77" s="281"/>
      <c r="AH77" s="124"/>
      <c r="AI77" s="282">
        <f t="shared" si="11"/>
        <v>0</v>
      </c>
      <c r="AJ77" s="283">
        <f t="shared" si="12"/>
        <v>0</v>
      </c>
      <c r="AK77" s="283">
        <f t="shared" si="12"/>
        <v>0</v>
      </c>
      <c r="AL77" s="284">
        <f t="shared" si="12"/>
        <v>0</v>
      </c>
      <c r="AM77" s="285">
        <f t="shared" si="13"/>
        <v>0</v>
      </c>
      <c r="AN77" s="124"/>
      <c r="AO77" s="281"/>
      <c r="AP77" s="281"/>
      <c r="AQ77" s="124"/>
      <c r="AR77" s="282">
        <f t="shared" si="14"/>
        <v>0</v>
      </c>
      <c r="AS77" s="283">
        <f t="shared" si="15"/>
        <v>0</v>
      </c>
      <c r="AT77" s="283">
        <f t="shared" si="15"/>
        <v>0</v>
      </c>
      <c r="AU77" s="284">
        <f t="shared" si="15"/>
        <v>0</v>
      </c>
      <c r="AV77" s="285">
        <f t="shared" si="16"/>
        <v>0</v>
      </c>
    </row>
    <row r="78" spans="1:48">
      <c r="A78" s="31">
        <f t="shared" si="17"/>
        <v>63</v>
      </c>
      <c r="B78" s="38">
        <f>Metadata!C86</f>
        <v>0.13432631194206809</v>
      </c>
      <c r="C78" s="38">
        <f>Metadata!G86</f>
        <v>0.41965061511782997</v>
      </c>
      <c r="D78" s="280"/>
      <c r="E78" s="281"/>
      <c r="F78" s="281"/>
      <c r="G78" s="124"/>
      <c r="H78" s="282">
        <f t="shared" si="18"/>
        <v>0</v>
      </c>
      <c r="I78" s="283">
        <f t="shared" si="19"/>
        <v>0</v>
      </c>
      <c r="J78" s="283">
        <f t="shared" si="3"/>
        <v>0</v>
      </c>
      <c r="K78" s="284">
        <f t="shared" si="3"/>
        <v>0</v>
      </c>
      <c r="L78" s="285">
        <f t="shared" si="4"/>
        <v>0</v>
      </c>
      <c r="M78" s="124"/>
      <c r="N78" s="281"/>
      <c r="O78" s="281"/>
      <c r="P78" s="124"/>
      <c r="Q78" s="282">
        <f t="shared" si="5"/>
        <v>0</v>
      </c>
      <c r="R78" s="283">
        <f t="shared" si="6"/>
        <v>0</v>
      </c>
      <c r="S78" s="283">
        <f t="shared" si="6"/>
        <v>0</v>
      </c>
      <c r="T78" s="284">
        <f t="shared" si="6"/>
        <v>0</v>
      </c>
      <c r="U78" s="285">
        <f t="shared" si="7"/>
        <v>0</v>
      </c>
      <c r="V78" s="124"/>
      <c r="W78" s="281"/>
      <c r="X78" s="281"/>
      <c r="Y78" s="124"/>
      <c r="Z78" s="282">
        <f t="shared" si="8"/>
        <v>0</v>
      </c>
      <c r="AA78" s="283">
        <f t="shared" si="9"/>
        <v>0</v>
      </c>
      <c r="AB78" s="283">
        <f t="shared" si="9"/>
        <v>0</v>
      </c>
      <c r="AC78" s="284">
        <f t="shared" si="9"/>
        <v>0</v>
      </c>
      <c r="AD78" s="285">
        <f t="shared" si="10"/>
        <v>0</v>
      </c>
      <c r="AE78" s="124"/>
      <c r="AF78" s="281"/>
      <c r="AG78" s="281"/>
      <c r="AH78" s="124"/>
      <c r="AI78" s="282">
        <f t="shared" si="11"/>
        <v>0</v>
      </c>
      <c r="AJ78" s="283">
        <f t="shared" si="12"/>
        <v>0</v>
      </c>
      <c r="AK78" s="283">
        <f t="shared" si="12"/>
        <v>0</v>
      </c>
      <c r="AL78" s="284">
        <f t="shared" si="12"/>
        <v>0</v>
      </c>
      <c r="AM78" s="285">
        <f t="shared" si="13"/>
        <v>0</v>
      </c>
      <c r="AN78" s="124"/>
      <c r="AO78" s="281"/>
      <c r="AP78" s="281"/>
      <c r="AQ78" s="124"/>
      <c r="AR78" s="282">
        <f t="shared" si="14"/>
        <v>0</v>
      </c>
      <c r="AS78" s="283">
        <f t="shared" si="15"/>
        <v>0</v>
      </c>
      <c r="AT78" s="283">
        <f t="shared" si="15"/>
        <v>0</v>
      </c>
      <c r="AU78" s="284">
        <f t="shared" si="15"/>
        <v>0</v>
      </c>
      <c r="AV78" s="285">
        <f t="shared" si="16"/>
        <v>0</v>
      </c>
    </row>
    <row r="79" spans="1:48">
      <c r="A79" s="31">
        <f t="shared" si="17"/>
        <v>64</v>
      </c>
      <c r="B79" s="38">
        <f>Metadata!C87</f>
        <v>0.1304138950893865</v>
      </c>
      <c r="C79" s="38">
        <f>Metadata!G87</f>
        <v>0.41432242868494157</v>
      </c>
      <c r="D79" s="280"/>
      <c r="E79" s="281"/>
      <c r="F79" s="281"/>
      <c r="G79" s="124"/>
      <c r="H79" s="282">
        <f t="shared" ref="H79:H110" si="20">SUM(D79:G79)</f>
        <v>0</v>
      </c>
      <c r="I79" s="283">
        <f t="shared" si="19"/>
        <v>0</v>
      </c>
      <c r="J79" s="283">
        <f t="shared" si="3"/>
        <v>0</v>
      </c>
      <c r="K79" s="284">
        <f t="shared" si="3"/>
        <v>0</v>
      </c>
      <c r="L79" s="285">
        <f t="shared" si="4"/>
        <v>0</v>
      </c>
      <c r="M79" s="124"/>
      <c r="N79" s="281"/>
      <c r="O79" s="281"/>
      <c r="P79" s="124"/>
      <c r="Q79" s="282">
        <f t="shared" si="5"/>
        <v>0</v>
      </c>
      <c r="R79" s="283">
        <f t="shared" si="6"/>
        <v>0</v>
      </c>
      <c r="S79" s="283">
        <f t="shared" si="6"/>
        <v>0</v>
      </c>
      <c r="T79" s="284">
        <f t="shared" si="6"/>
        <v>0</v>
      </c>
      <c r="U79" s="285">
        <f t="shared" si="7"/>
        <v>0</v>
      </c>
      <c r="V79" s="124"/>
      <c r="W79" s="281"/>
      <c r="X79" s="281"/>
      <c r="Y79" s="124"/>
      <c r="Z79" s="282">
        <f t="shared" si="8"/>
        <v>0</v>
      </c>
      <c r="AA79" s="283">
        <f t="shared" si="9"/>
        <v>0</v>
      </c>
      <c r="AB79" s="283">
        <f t="shared" si="9"/>
        <v>0</v>
      </c>
      <c r="AC79" s="284">
        <f t="shared" si="9"/>
        <v>0</v>
      </c>
      <c r="AD79" s="285">
        <f t="shared" si="10"/>
        <v>0</v>
      </c>
      <c r="AE79" s="124"/>
      <c r="AF79" s="281"/>
      <c r="AG79" s="281"/>
      <c r="AH79" s="124"/>
      <c r="AI79" s="282">
        <f t="shared" si="11"/>
        <v>0</v>
      </c>
      <c r="AJ79" s="283">
        <f t="shared" si="12"/>
        <v>0</v>
      </c>
      <c r="AK79" s="283">
        <f t="shared" si="12"/>
        <v>0</v>
      </c>
      <c r="AL79" s="284">
        <f t="shared" si="12"/>
        <v>0</v>
      </c>
      <c r="AM79" s="285">
        <f t="shared" si="13"/>
        <v>0</v>
      </c>
      <c r="AN79" s="124"/>
      <c r="AO79" s="281"/>
      <c r="AP79" s="281"/>
      <c r="AQ79" s="124"/>
      <c r="AR79" s="282">
        <f t="shared" si="14"/>
        <v>0</v>
      </c>
      <c r="AS79" s="283">
        <f t="shared" si="15"/>
        <v>0</v>
      </c>
      <c r="AT79" s="283">
        <f t="shared" si="15"/>
        <v>0</v>
      </c>
      <c r="AU79" s="284">
        <f t="shared" si="15"/>
        <v>0</v>
      </c>
      <c r="AV79" s="285">
        <f t="shared" si="16"/>
        <v>0</v>
      </c>
    </row>
    <row r="80" spans="1:48">
      <c r="A80" s="31">
        <f t="shared" si="17"/>
        <v>65</v>
      </c>
      <c r="B80" s="38">
        <f>Metadata!C88</f>
        <v>0.12661543212561796</v>
      </c>
      <c r="C80" s="38">
        <f>Metadata!G88</f>
        <v>0.40906189274425048</v>
      </c>
      <c r="D80" s="280"/>
      <c r="E80" s="281"/>
      <c r="F80" s="281"/>
      <c r="G80" s="124"/>
      <c r="H80" s="282">
        <f t="shared" si="20"/>
        <v>0</v>
      </c>
      <c r="I80" s="283">
        <f t="shared" ref="I80:I114" si="21">D80*$B80</f>
        <v>0</v>
      </c>
      <c r="J80" s="283">
        <f t="shared" ref="J80:K114" si="22">E80*$B80</f>
        <v>0</v>
      </c>
      <c r="K80" s="284">
        <f t="shared" si="22"/>
        <v>0</v>
      </c>
      <c r="L80" s="285">
        <f t="shared" ref="L80:L114" si="23">G80*$C80</f>
        <v>0</v>
      </c>
      <c r="M80" s="124"/>
      <c r="N80" s="281"/>
      <c r="O80" s="281"/>
      <c r="P80" s="124"/>
      <c r="Q80" s="282">
        <f t="shared" ref="Q80:Q114" si="24">SUM(M80:P80)</f>
        <v>0</v>
      </c>
      <c r="R80" s="283">
        <f t="shared" ref="R80:T114" si="25">M80*$B80</f>
        <v>0</v>
      </c>
      <c r="S80" s="283">
        <f t="shared" si="25"/>
        <v>0</v>
      </c>
      <c r="T80" s="284">
        <f t="shared" si="25"/>
        <v>0</v>
      </c>
      <c r="U80" s="285">
        <f t="shared" ref="U80:U114" si="26">P80*$C80</f>
        <v>0</v>
      </c>
      <c r="V80" s="124"/>
      <c r="W80" s="281"/>
      <c r="X80" s="281"/>
      <c r="Y80" s="124"/>
      <c r="Z80" s="282">
        <f t="shared" ref="Z80:Z114" si="27">SUM(V80:Y80)</f>
        <v>0</v>
      </c>
      <c r="AA80" s="283">
        <f t="shared" ref="AA80:AC114" si="28">V80*$B80</f>
        <v>0</v>
      </c>
      <c r="AB80" s="283">
        <f t="shared" si="28"/>
        <v>0</v>
      </c>
      <c r="AC80" s="284">
        <f t="shared" si="28"/>
        <v>0</v>
      </c>
      <c r="AD80" s="285">
        <f t="shared" ref="AD80:AD114" si="29">Y80*$C80</f>
        <v>0</v>
      </c>
      <c r="AE80" s="124"/>
      <c r="AF80" s="281"/>
      <c r="AG80" s="281"/>
      <c r="AH80" s="124"/>
      <c r="AI80" s="282">
        <f t="shared" ref="AI80:AI114" si="30">SUM(AE80:AH80)</f>
        <v>0</v>
      </c>
      <c r="AJ80" s="283">
        <f t="shared" ref="AJ80:AL114" si="31">AE80*$B80</f>
        <v>0</v>
      </c>
      <c r="AK80" s="283">
        <f t="shared" si="31"/>
        <v>0</v>
      </c>
      <c r="AL80" s="284">
        <f t="shared" si="31"/>
        <v>0</v>
      </c>
      <c r="AM80" s="285">
        <f t="shared" ref="AM80:AM114" si="32">AH80*$C80</f>
        <v>0</v>
      </c>
      <c r="AN80" s="124"/>
      <c r="AO80" s="281"/>
      <c r="AP80" s="281"/>
      <c r="AQ80" s="124"/>
      <c r="AR80" s="282">
        <f t="shared" ref="AR80:AR114" si="33">SUM(AN80:AQ80)</f>
        <v>0</v>
      </c>
      <c r="AS80" s="283">
        <f t="shared" ref="AS80:AU114" si="34">AN80*$B80</f>
        <v>0</v>
      </c>
      <c r="AT80" s="283">
        <f t="shared" si="34"/>
        <v>0</v>
      </c>
      <c r="AU80" s="284">
        <f t="shared" si="34"/>
        <v>0</v>
      </c>
      <c r="AV80" s="285">
        <f t="shared" ref="AV80:AV114" si="35">AQ80*$C80</f>
        <v>0</v>
      </c>
    </row>
    <row r="81" spans="1:48">
      <c r="A81" s="31">
        <f t="shared" ref="A81:A114" si="36">A80+1</f>
        <v>66</v>
      </c>
      <c r="B81" s="38">
        <f>Metadata!C89</f>
        <v>0.12292760400545433</v>
      </c>
      <c r="C81" s="38">
        <f>Metadata!G89</f>
        <v>0.40386814835638729</v>
      </c>
      <c r="D81" s="280"/>
      <c r="E81" s="281"/>
      <c r="F81" s="281"/>
      <c r="G81" s="124"/>
      <c r="H81" s="282">
        <f t="shared" si="20"/>
        <v>0</v>
      </c>
      <c r="I81" s="283">
        <f t="shared" si="21"/>
        <v>0</v>
      </c>
      <c r="J81" s="283">
        <f t="shared" si="22"/>
        <v>0</v>
      </c>
      <c r="K81" s="284">
        <f t="shared" si="22"/>
        <v>0</v>
      </c>
      <c r="L81" s="285">
        <f t="shared" si="23"/>
        <v>0</v>
      </c>
      <c r="M81" s="124"/>
      <c r="N81" s="281"/>
      <c r="O81" s="281"/>
      <c r="P81" s="124"/>
      <c r="Q81" s="282">
        <f t="shared" si="24"/>
        <v>0</v>
      </c>
      <c r="R81" s="283">
        <f t="shared" si="25"/>
        <v>0</v>
      </c>
      <c r="S81" s="283">
        <f t="shared" si="25"/>
        <v>0</v>
      </c>
      <c r="T81" s="284">
        <f t="shared" si="25"/>
        <v>0</v>
      </c>
      <c r="U81" s="285">
        <f t="shared" si="26"/>
        <v>0</v>
      </c>
      <c r="V81" s="124"/>
      <c r="W81" s="281"/>
      <c r="X81" s="281"/>
      <c r="Y81" s="124"/>
      <c r="Z81" s="282">
        <f t="shared" si="27"/>
        <v>0</v>
      </c>
      <c r="AA81" s="283">
        <f t="shared" si="28"/>
        <v>0</v>
      </c>
      <c r="AB81" s="283">
        <f t="shared" si="28"/>
        <v>0</v>
      </c>
      <c r="AC81" s="284">
        <f t="shared" si="28"/>
        <v>0</v>
      </c>
      <c r="AD81" s="285">
        <f t="shared" si="29"/>
        <v>0</v>
      </c>
      <c r="AE81" s="124"/>
      <c r="AF81" s="281"/>
      <c r="AG81" s="281"/>
      <c r="AH81" s="124"/>
      <c r="AI81" s="282">
        <f t="shared" si="30"/>
        <v>0</v>
      </c>
      <c r="AJ81" s="283">
        <f t="shared" si="31"/>
        <v>0</v>
      </c>
      <c r="AK81" s="283">
        <f t="shared" si="31"/>
        <v>0</v>
      </c>
      <c r="AL81" s="284">
        <f t="shared" si="31"/>
        <v>0</v>
      </c>
      <c r="AM81" s="285">
        <f t="shared" si="32"/>
        <v>0</v>
      </c>
      <c r="AN81" s="124"/>
      <c r="AO81" s="281"/>
      <c r="AP81" s="281"/>
      <c r="AQ81" s="124"/>
      <c r="AR81" s="282">
        <f t="shared" si="33"/>
        <v>0</v>
      </c>
      <c r="AS81" s="283">
        <f t="shared" si="34"/>
        <v>0</v>
      </c>
      <c r="AT81" s="283">
        <f t="shared" si="34"/>
        <v>0</v>
      </c>
      <c r="AU81" s="284">
        <f t="shared" si="34"/>
        <v>0</v>
      </c>
      <c r="AV81" s="285">
        <f t="shared" si="35"/>
        <v>0</v>
      </c>
    </row>
    <row r="82" spans="1:48">
      <c r="A82" s="31">
        <f t="shared" si="36"/>
        <v>67</v>
      </c>
      <c r="B82" s="38">
        <f>Metadata!C90</f>
        <v>0.11934718835481002</v>
      </c>
      <c r="C82" s="38">
        <f>Metadata!G90</f>
        <v>0.39874034748769549</v>
      </c>
      <c r="D82" s="280"/>
      <c r="E82" s="281"/>
      <c r="F82" s="281"/>
      <c r="G82" s="124"/>
      <c r="H82" s="282">
        <f t="shared" si="20"/>
        <v>0</v>
      </c>
      <c r="I82" s="283">
        <f t="shared" si="21"/>
        <v>0</v>
      </c>
      <c r="J82" s="283">
        <f t="shared" si="22"/>
        <v>0</v>
      </c>
      <c r="K82" s="284">
        <f t="shared" si="22"/>
        <v>0</v>
      </c>
      <c r="L82" s="285">
        <f t="shared" si="23"/>
        <v>0</v>
      </c>
      <c r="M82" s="124"/>
      <c r="N82" s="281"/>
      <c r="O82" s="281"/>
      <c r="P82" s="124"/>
      <c r="Q82" s="282">
        <f t="shared" si="24"/>
        <v>0</v>
      </c>
      <c r="R82" s="283">
        <f t="shared" si="25"/>
        <v>0</v>
      </c>
      <c r="S82" s="283">
        <f t="shared" si="25"/>
        <v>0</v>
      </c>
      <c r="T82" s="284">
        <f t="shared" si="25"/>
        <v>0</v>
      </c>
      <c r="U82" s="285">
        <f t="shared" si="26"/>
        <v>0</v>
      </c>
      <c r="V82" s="124"/>
      <c r="W82" s="281"/>
      <c r="X82" s="281"/>
      <c r="Y82" s="124"/>
      <c r="Z82" s="282">
        <f t="shared" si="27"/>
        <v>0</v>
      </c>
      <c r="AA82" s="283">
        <f t="shared" si="28"/>
        <v>0</v>
      </c>
      <c r="AB82" s="283">
        <f t="shared" si="28"/>
        <v>0</v>
      </c>
      <c r="AC82" s="284">
        <f t="shared" si="28"/>
        <v>0</v>
      </c>
      <c r="AD82" s="285">
        <f t="shared" si="29"/>
        <v>0</v>
      </c>
      <c r="AE82" s="124"/>
      <c r="AF82" s="281"/>
      <c r="AG82" s="281"/>
      <c r="AH82" s="124"/>
      <c r="AI82" s="282">
        <f t="shared" si="30"/>
        <v>0</v>
      </c>
      <c r="AJ82" s="283">
        <f t="shared" si="31"/>
        <v>0</v>
      </c>
      <c r="AK82" s="283">
        <f t="shared" si="31"/>
        <v>0</v>
      </c>
      <c r="AL82" s="284">
        <f t="shared" si="31"/>
        <v>0</v>
      </c>
      <c r="AM82" s="285">
        <f t="shared" si="32"/>
        <v>0</v>
      </c>
      <c r="AN82" s="124"/>
      <c r="AO82" s="281"/>
      <c r="AP82" s="281"/>
      <c r="AQ82" s="124"/>
      <c r="AR82" s="282">
        <f t="shared" si="33"/>
        <v>0</v>
      </c>
      <c r="AS82" s="283">
        <f t="shared" si="34"/>
        <v>0</v>
      </c>
      <c r="AT82" s="283">
        <f t="shared" si="34"/>
        <v>0</v>
      </c>
      <c r="AU82" s="284">
        <f t="shared" si="34"/>
        <v>0</v>
      </c>
      <c r="AV82" s="285">
        <f t="shared" si="35"/>
        <v>0</v>
      </c>
    </row>
    <row r="83" spans="1:48">
      <c r="A83" s="31">
        <f t="shared" si="36"/>
        <v>68</v>
      </c>
      <c r="B83" s="38">
        <f>Metadata!C91</f>
        <v>0.11587105665515536</v>
      </c>
      <c r="C83" s="38">
        <f>Metadata!G91</f>
        <v>0.39367765287176454</v>
      </c>
      <c r="D83" s="280"/>
      <c r="E83" s="281"/>
      <c r="F83" s="281"/>
      <c r="G83" s="124"/>
      <c r="H83" s="282">
        <f t="shared" si="20"/>
        <v>0</v>
      </c>
      <c r="I83" s="283">
        <f t="shared" si="21"/>
        <v>0</v>
      </c>
      <c r="J83" s="283">
        <f t="shared" si="22"/>
        <v>0</v>
      </c>
      <c r="K83" s="284">
        <f t="shared" si="22"/>
        <v>0</v>
      </c>
      <c r="L83" s="285">
        <f t="shared" si="23"/>
        <v>0</v>
      </c>
      <c r="M83" s="124"/>
      <c r="N83" s="281"/>
      <c r="O83" s="281"/>
      <c r="P83" s="124"/>
      <c r="Q83" s="282">
        <f t="shared" si="24"/>
        <v>0</v>
      </c>
      <c r="R83" s="283">
        <f t="shared" si="25"/>
        <v>0</v>
      </c>
      <c r="S83" s="283">
        <f t="shared" si="25"/>
        <v>0</v>
      </c>
      <c r="T83" s="284">
        <f t="shared" si="25"/>
        <v>0</v>
      </c>
      <c r="U83" s="285">
        <f t="shared" si="26"/>
        <v>0</v>
      </c>
      <c r="V83" s="124"/>
      <c r="W83" s="281"/>
      <c r="X83" s="281"/>
      <c r="Y83" s="124"/>
      <c r="Z83" s="282">
        <f t="shared" si="27"/>
        <v>0</v>
      </c>
      <c r="AA83" s="283">
        <f t="shared" si="28"/>
        <v>0</v>
      </c>
      <c r="AB83" s="283">
        <f t="shared" si="28"/>
        <v>0</v>
      </c>
      <c r="AC83" s="284">
        <f t="shared" si="28"/>
        <v>0</v>
      </c>
      <c r="AD83" s="285">
        <f t="shared" si="29"/>
        <v>0</v>
      </c>
      <c r="AE83" s="124"/>
      <c r="AF83" s="281"/>
      <c r="AG83" s="281"/>
      <c r="AH83" s="124"/>
      <c r="AI83" s="282">
        <f t="shared" si="30"/>
        <v>0</v>
      </c>
      <c r="AJ83" s="283">
        <f t="shared" si="31"/>
        <v>0</v>
      </c>
      <c r="AK83" s="283">
        <f t="shared" si="31"/>
        <v>0</v>
      </c>
      <c r="AL83" s="284">
        <f t="shared" si="31"/>
        <v>0</v>
      </c>
      <c r="AM83" s="285">
        <f t="shared" si="32"/>
        <v>0</v>
      </c>
      <c r="AN83" s="124"/>
      <c r="AO83" s="281"/>
      <c r="AP83" s="281"/>
      <c r="AQ83" s="124"/>
      <c r="AR83" s="282">
        <f t="shared" si="33"/>
        <v>0</v>
      </c>
      <c r="AS83" s="283">
        <f t="shared" si="34"/>
        <v>0</v>
      </c>
      <c r="AT83" s="283">
        <f t="shared" si="34"/>
        <v>0</v>
      </c>
      <c r="AU83" s="284">
        <f t="shared" si="34"/>
        <v>0</v>
      </c>
      <c r="AV83" s="285">
        <f t="shared" si="35"/>
        <v>0</v>
      </c>
    </row>
    <row r="84" spans="1:48">
      <c r="A84" s="31">
        <f t="shared" si="36"/>
        <v>69</v>
      </c>
      <c r="B84" s="38">
        <f>Metadata!C92</f>
        <v>0.11249617150985958</v>
      </c>
      <c r="C84" s="38">
        <f>Metadata!G92</f>
        <v>0.38867923787272129</v>
      </c>
      <c r="D84" s="280"/>
      <c r="E84" s="281"/>
      <c r="F84" s="281"/>
      <c r="G84" s="124"/>
      <c r="H84" s="282">
        <f t="shared" si="20"/>
        <v>0</v>
      </c>
      <c r="I84" s="283">
        <f t="shared" si="21"/>
        <v>0</v>
      </c>
      <c r="J84" s="283">
        <f t="shared" si="22"/>
        <v>0</v>
      </c>
      <c r="K84" s="284">
        <f t="shared" si="22"/>
        <v>0</v>
      </c>
      <c r="L84" s="285">
        <f t="shared" si="23"/>
        <v>0</v>
      </c>
      <c r="M84" s="124"/>
      <c r="N84" s="281"/>
      <c r="O84" s="281"/>
      <c r="P84" s="124"/>
      <c r="Q84" s="282">
        <f t="shared" si="24"/>
        <v>0</v>
      </c>
      <c r="R84" s="283">
        <f t="shared" si="25"/>
        <v>0</v>
      </c>
      <c r="S84" s="283">
        <f t="shared" si="25"/>
        <v>0</v>
      </c>
      <c r="T84" s="284">
        <f t="shared" si="25"/>
        <v>0</v>
      </c>
      <c r="U84" s="285">
        <f t="shared" si="26"/>
        <v>0</v>
      </c>
      <c r="V84" s="124"/>
      <c r="W84" s="281"/>
      <c r="X84" s="281"/>
      <c r="Y84" s="124"/>
      <c r="Z84" s="282">
        <f t="shared" si="27"/>
        <v>0</v>
      </c>
      <c r="AA84" s="283">
        <f t="shared" si="28"/>
        <v>0</v>
      </c>
      <c r="AB84" s="283">
        <f t="shared" si="28"/>
        <v>0</v>
      </c>
      <c r="AC84" s="284">
        <f t="shared" si="28"/>
        <v>0</v>
      </c>
      <c r="AD84" s="285">
        <f t="shared" si="29"/>
        <v>0</v>
      </c>
      <c r="AE84" s="124"/>
      <c r="AF84" s="281"/>
      <c r="AG84" s="281"/>
      <c r="AH84" s="124"/>
      <c r="AI84" s="282">
        <f t="shared" si="30"/>
        <v>0</v>
      </c>
      <c r="AJ84" s="283">
        <f t="shared" si="31"/>
        <v>0</v>
      </c>
      <c r="AK84" s="283">
        <f t="shared" si="31"/>
        <v>0</v>
      </c>
      <c r="AL84" s="284">
        <f t="shared" si="31"/>
        <v>0</v>
      </c>
      <c r="AM84" s="285">
        <f t="shared" si="32"/>
        <v>0</v>
      </c>
      <c r="AN84" s="124"/>
      <c r="AO84" s="281"/>
      <c r="AP84" s="281"/>
      <c r="AQ84" s="124"/>
      <c r="AR84" s="282">
        <f t="shared" si="33"/>
        <v>0</v>
      </c>
      <c r="AS84" s="283">
        <f t="shared" si="34"/>
        <v>0</v>
      </c>
      <c r="AT84" s="283">
        <f t="shared" si="34"/>
        <v>0</v>
      </c>
      <c r="AU84" s="284">
        <f t="shared" si="34"/>
        <v>0</v>
      </c>
      <c r="AV84" s="285">
        <f t="shared" si="35"/>
        <v>0</v>
      </c>
    </row>
    <row r="85" spans="1:48">
      <c r="A85" s="31">
        <f t="shared" si="36"/>
        <v>70</v>
      </c>
      <c r="B85" s="38">
        <f>Metadata!C93</f>
        <v>0.10921958399015493</v>
      </c>
      <c r="C85" s="38">
        <f>Metadata!G93</f>
        <v>0.38374428635025698</v>
      </c>
      <c r="D85" s="280"/>
      <c r="E85" s="281"/>
      <c r="F85" s="281"/>
      <c r="G85" s="124"/>
      <c r="H85" s="282">
        <f t="shared" si="20"/>
        <v>0</v>
      </c>
      <c r="I85" s="283">
        <f t="shared" si="21"/>
        <v>0</v>
      </c>
      <c r="J85" s="283">
        <f t="shared" si="22"/>
        <v>0</v>
      </c>
      <c r="K85" s="284">
        <f t="shared" si="22"/>
        <v>0</v>
      </c>
      <c r="L85" s="285">
        <f t="shared" si="23"/>
        <v>0</v>
      </c>
      <c r="M85" s="124"/>
      <c r="N85" s="281"/>
      <c r="O85" s="281"/>
      <c r="P85" s="124"/>
      <c r="Q85" s="282">
        <f t="shared" si="24"/>
        <v>0</v>
      </c>
      <c r="R85" s="283">
        <f t="shared" si="25"/>
        <v>0</v>
      </c>
      <c r="S85" s="283">
        <f t="shared" si="25"/>
        <v>0</v>
      </c>
      <c r="T85" s="284">
        <f t="shared" si="25"/>
        <v>0</v>
      </c>
      <c r="U85" s="285">
        <f t="shared" si="26"/>
        <v>0</v>
      </c>
      <c r="V85" s="124"/>
      <c r="W85" s="281"/>
      <c r="X85" s="281"/>
      <c r="Y85" s="124"/>
      <c r="Z85" s="282">
        <f t="shared" si="27"/>
        <v>0</v>
      </c>
      <c r="AA85" s="283">
        <f t="shared" si="28"/>
        <v>0</v>
      </c>
      <c r="AB85" s="283">
        <f t="shared" si="28"/>
        <v>0</v>
      </c>
      <c r="AC85" s="284">
        <f t="shared" si="28"/>
        <v>0</v>
      </c>
      <c r="AD85" s="285">
        <f t="shared" si="29"/>
        <v>0</v>
      </c>
      <c r="AE85" s="124"/>
      <c r="AF85" s="281"/>
      <c r="AG85" s="281"/>
      <c r="AH85" s="124"/>
      <c r="AI85" s="282">
        <f t="shared" si="30"/>
        <v>0</v>
      </c>
      <c r="AJ85" s="283">
        <f t="shared" si="31"/>
        <v>0</v>
      </c>
      <c r="AK85" s="283">
        <f t="shared" si="31"/>
        <v>0</v>
      </c>
      <c r="AL85" s="284">
        <f t="shared" si="31"/>
        <v>0</v>
      </c>
      <c r="AM85" s="285">
        <f t="shared" si="32"/>
        <v>0</v>
      </c>
      <c r="AN85" s="124"/>
      <c r="AO85" s="281"/>
      <c r="AP85" s="281"/>
      <c r="AQ85" s="124"/>
      <c r="AR85" s="282">
        <f t="shared" si="33"/>
        <v>0</v>
      </c>
      <c r="AS85" s="283">
        <f t="shared" si="34"/>
        <v>0</v>
      </c>
      <c r="AT85" s="283">
        <f t="shared" si="34"/>
        <v>0</v>
      </c>
      <c r="AU85" s="284">
        <f t="shared" si="34"/>
        <v>0</v>
      </c>
      <c r="AV85" s="285">
        <f t="shared" si="35"/>
        <v>0</v>
      </c>
    </row>
    <row r="86" spans="1:48">
      <c r="A86" s="31">
        <f t="shared" si="36"/>
        <v>71</v>
      </c>
      <c r="B86" s="38">
        <f>Metadata!C94</f>
        <v>0.10603843105840284</v>
      </c>
      <c r="C86" s="38">
        <f>Metadata!G94</f>
        <v>0.37887199252636783</v>
      </c>
      <c r="D86" s="280"/>
      <c r="E86" s="281"/>
      <c r="F86" s="281"/>
      <c r="G86" s="124"/>
      <c r="H86" s="282">
        <f t="shared" si="20"/>
        <v>0</v>
      </c>
      <c r="I86" s="283">
        <f t="shared" si="21"/>
        <v>0</v>
      </c>
      <c r="J86" s="283">
        <f t="shared" si="22"/>
        <v>0</v>
      </c>
      <c r="K86" s="284">
        <f t="shared" si="22"/>
        <v>0</v>
      </c>
      <c r="L86" s="285">
        <f t="shared" si="23"/>
        <v>0</v>
      </c>
      <c r="M86" s="124"/>
      <c r="N86" s="281"/>
      <c r="O86" s="281"/>
      <c r="P86" s="124"/>
      <c r="Q86" s="282">
        <f t="shared" si="24"/>
        <v>0</v>
      </c>
      <c r="R86" s="283">
        <f t="shared" si="25"/>
        <v>0</v>
      </c>
      <c r="S86" s="283">
        <f t="shared" si="25"/>
        <v>0</v>
      </c>
      <c r="T86" s="284">
        <f t="shared" si="25"/>
        <v>0</v>
      </c>
      <c r="U86" s="285">
        <f t="shared" si="26"/>
        <v>0</v>
      </c>
      <c r="V86" s="124"/>
      <c r="W86" s="281"/>
      <c r="X86" s="281"/>
      <c r="Y86" s="124"/>
      <c r="Z86" s="282">
        <f t="shared" si="27"/>
        <v>0</v>
      </c>
      <c r="AA86" s="283">
        <f t="shared" si="28"/>
        <v>0</v>
      </c>
      <c r="AB86" s="283">
        <f t="shared" si="28"/>
        <v>0</v>
      </c>
      <c r="AC86" s="284">
        <f t="shared" si="28"/>
        <v>0</v>
      </c>
      <c r="AD86" s="285">
        <f t="shared" si="29"/>
        <v>0</v>
      </c>
      <c r="AE86" s="124"/>
      <c r="AF86" s="281"/>
      <c r="AG86" s="281"/>
      <c r="AH86" s="124"/>
      <c r="AI86" s="282">
        <f t="shared" si="30"/>
        <v>0</v>
      </c>
      <c r="AJ86" s="283">
        <f t="shared" si="31"/>
        <v>0</v>
      </c>
      <c r="AK86" s="283">
        <f t="shared" si="31"/>
        <v>0</v>
      </c>
      <c r="AL86" s="284">
        <f t="shared" si="31"/>
        <v>0</v>
      </c>
      <c r="AM86" s="285">
        <f t="shared" si="32"/>
        <v>0</v>
      </c>
      <c r="AN86" s="124"/>
      <c r="AO86" s="281"/>
      <c r="AP86" s="281"/>
      <c r="AQ86" s="124"/>
      <c r="AR86" s="282">
        <f t="shared" si="33"/>
        <v>0</v>
      </c>
      <c r="AS86" s="283">
        <f t="shared" si="34"/>
        <v>0</v>
      </c>
      <c r="AT86" s="283">
        <f t="shared" si="34"/>
        <v>0</v>
      </c>
      <c r="AU86" s="284">
        <f t="shared" si="34"/>
        <v>0</v>
      </c>
      <c r="AV86" s="285">
        <f t="shared" si="35"/>
        <v>0</v>
      </c>
    </row>
    <row r="87" spans="1:48">
      <c r="A87" s="31">
        <f t="shared" si="36"/>
        <v>72</v>
      </c>
      <c r="B87" s="38">
        <f>Metadata!C95</f>
        <v>0.10294993306641052</v>
      </c>
      <c r="C87" s="38">
        <f>Metadata!G95</f>
        <v>0.37406156085378806</v>
      </c>
      <c r="D87" s="280"/>
      <c r="E87" s="281"/>
      <c r="F87" s="281"/>
      <c r="G87" s="124"/>
      <c r="H87" s="282">
        <f t="shared" si="20"/>
        <v>0</v>
      </c>
      <c r="I87" s="283">
        <f t="shared" si="21"/>
        <v>0</v>
      </c>
      <c r="J87" s="283">
        <f t="shared" si="22"/>
        <v>0</v>
      </c>
      <c r="K87" s="284">
        <f t="shared" si="22"/>
        <v>0</v>
      </c>
      <c r="L87" s="285">
        <f t="shared" si="23"/>
        <v>0</v>
      </c>
      <c r="M87" s="124"/>
      <c r="N87" s="281"/>
      <c r="O87" s="281"/>
      <c r="P87" s="124"/>
      <c r="Q87" s="282">
        <f t="shared" si="24"/>
        <v>0</v>
      </c>
      <c r="R87" s="283">
        <f t="shared" si="25"/>
        <v>0</v>
      </c>
      <c r="S87" s="283">
        <f t="shared" si="25"/>
        <v>0</v>
      </c>
      <c r="T87" s="284">
        <f t="shared" si="25"/>
        <v>0</v>
      </c>
      <c r="U87" s="285">
        <f t="shared" si="26"/>
        <v>0</v>
      </c>
      <c r="V87" s="124"/>
      <c r="W87" s="281"/>
      <c r="X87" s="281"/>
      <c r="Y87" s="124"/>
      <c r="Z87" s="282">
        <f t="shared" si="27"/>
        <v>0</v>
      </c>
      <c r="AA87" s="283">
        <f t="shared" si="28"/>
        <v>0</v>
      </c>
      <c r="AB87" s="283">
        <f t="shared" si="28"/>
        <v>0</v>
      </c>
      <c r="AC87" s="284">
        <f t="shared" si="28"/>
        <v>0</v>
      </c>
      <c r="AD87" s="285">
        <f t="shared" si="29"/>
        <v>0</v>
      </c>
      <c r="AE87" s="124"/>
      <c r="AF87" s="281"/>
      <c r="AG87" s="281"/>
      <c r="AH87" s="124"/>
      <c r="AI87" s="282">
        <f t="shared" si="30"/>
        <v>0</v>
      </c>
      <c r="AJ87" s="283">
        <f t="shared" si="31"/>
        <v>0</v>
      </c>
      <c r="AK87" s="283">
        <f t="shared" si="31"/>
        <v>0</v>
      </c>
      <c r="AL87" s="284">
        <f t="shared" si="31"/>
        <v>0</v>
      </c>
      <c r="AM87" s="285">
        <f t="shared" si="32"/>
        <v>0</v>
      </c>
      <c r="AN87" s="124"/>
      <c r="AO87" s="281"/>
      <c r="AP87" s="281"/>
      <c r="AQ87" s="124"/>
      <c r="AR87" s="282">
        <f t="shared" si="33"/>
        <v>0</v>
      </c>
      <c r="AS87" s="283">
        <f t="shared" si="34"/>
        <v>0</v>
      </c>
      <c r="AT87" s="283">
        <f t="shared" si="34"/>
        <v>0</v>
      </c>
      <c r="AU87" s="284">
        <f t="shared" si="34"/>
        <v>0</v>
      </c>
      <c r="AV87" s="285">
        <f t="shared" si="35"/>
        <v>0</v>
      </c>
    </row>
    <row r="88" spans="1:48">
      <c r="A88" s="31">
        <f t="shared" si="36"/>
        <v>73</v>
      </c>
      <c r="B88" s="38">
        <f>Metadata!C96</f>
        <v>9.9951391326612155E-2</v>
      </c>
      <c r="C88" s="38">
        <f>Metadata!G96</f>
        <v>0.36931220588609287</v>
      </c>
      <c r="D88" s="280"/>
      <c r="E88" s="281"/>
      <c r="F88" s="281"/>
      <c r="G88" s="124"/>
      <c r="H88" s="282">
        <f t="shared" si="20"/>
        <v>0</v>
      </c>
      <c r="I88" s="283">
        <f t="shared" si="21"/>
        <v>0</v>
      </c>
      <c r="J88" s="283">
        <f t="shared" si="22"/>
        <v>0</v>
      </c>
      <c r="K88" s="284">
        <f t="shared" si="22"/>
        <v>0</v>
      </c>
      <c r="L88" s="285">
        <f t="shared" si="23"/>
        <v>0</v>
      </c>
      <c r="M88" s="124"/>
      <c r="N88" s="281"/>
      <c r="O88" s="281"/>
      <c r="P88" s="124"/>
      <c r="Q88" s="282">
        <f t="shared" si="24"/>
        <v>0</v>
      </c>
      <c r="R88" s="283">
        <f t="shared" si="25"/>
        <v>0</v>
      </c>
      <c r="S88" s="283">
        <f t="shared" si="25"/>
        <v>0</v>
      </c>
      <c r="T88" s="284">
        <f t="shared" si="25"/>
        <v>0</v>
      </c>
      <c r="U88" s="285">
        <f t="shared" si="26"/>
        <v>0</v>
      </c>
      <c r="V88" s="124"/>
      <c r="W88" s="281"/>
      <c r="X88" s="281"/>
      <c r="Y88" s="124"/>
      <c r="Z88" s="282">
        <f t="shared" si="27"/>
        <v>0</v>
      </c>
      <c r="AA88" s="283">
        <f t="shared" si="28"/>
        <v>0</v>
      </c>
      <c r="AB88" s="283">
        <f t="shared" si="28"/>
        <v>0</v>
      </c>
      <c r="AC88" s="284">
        <f t="shared" si="28"/>
        <v>0</v>
      </c>
      <c r="AD88" s="285">
        <f t="shared" si="29"/>
        <v>0</v>
      </c>
      <c r="AE88" s="124"/>
      <c r="AF88" s="281"/>
      <c r="AG88" s="281"/>
      <c r="AH88" s="124"/>
      <c r="AI88" s="282">
        <f t="shared" si="30"/>
        <v>0</v>
      </c>
      <c r="AJ88" s="283">
        <f t="shared" si="31"/>
        <v>0</v>
      </c>
      <c r="AK88" s="283">
        <f t="shared" si="31"/>
        <v>0</v>
      </c>
      <c r="AL88" s="284">
        <f t="shared" si="31"/>
        <v>0</v>
      </c>
      <c r="AM88" s="285">
        <f t="shared" si="32"/>
        <v>0</v>
      </c>
      <c r="AN88" s="124"/>
      <c r="AO88" s="281"/>
      <c r="AP88" s="281"/>
      <c r="AQ88" s="124"/>
      <c r="AR88" s="282">
        <f t="shared" si="33"/>
        <v>0</v>
      </c>
      <c r="AS88" s="283">
        <f t="shared" si="34"/>
        <v>0</v>
      </c>
      <c r="AT88" s="283">
        <f t="shared" si="34"/>
        <v>0</v>
      </c>
      <c r="AU88" s="284">
        <f t="shared" si="34"/>
        <v>0</v>
      </c>
      <c r="AV88" s="285">
        <f t="shared" si="35"/>
        <v>0</v>
      </c>
    </row>
    <row r="89" spans="1:48">
      <c r="A89" s="31">
        <f t="shared" si="36"/>
        <v>74</v>
      </c>
      <c r="B89" s="38">
        <f>Metadata!C97</f>
        <v>9.7040185753992383E-2</v>
      </c>
      <c r="C89" s="38">
        <f>Metadata!G97</f>
        <v>0.3646231521494509</v>
      </c>
      <c r="D89" s="280"/>
      <c r="E89" s="281"/>
      <c r="F89" s="281"/>
      <c r="G89" s="124"/>
      <c r="H89" s="282">
        <f t="shared" si="20"/>
        <v>0</v>
      </c>
      <c r="I89" s="283">
        <f t="shared" si="21"/>
        <v>0</v>
      </c>
      <c r="J89" s="283">
        <f t="shared" si="22"/>
        <v>0</v>
      </c>
      <c r="K89" s="284">
        <f t="shared" si="22"/>
        <v>0</v>
      </c>
      <c r="L89" s="285">
        <f t="shared" si="23"/>
        <v>0</v>
      </c>
      <c r="M89" s="124"/>
      <c r="N89" s="281"/>
      <c r="O89" s="281"/>
      <c r="P89" s="124"/>
      <c r="Q89" s="282">
        <f t="shared" si="24"/>
        <v>0</v>
      </c>
      <c r="R89" s="283">
        <f t="shared" si="25"/>
        <v>0</v>
      </c>
      <c r="S89" s="283">
        <f t="shared" si="25"/>
        <v>0</v>
      </c>
      <c r="T89" s="284">
        <f t="shared" si="25"/>
        <v>0</v>
      </c>
      <c r="U89" s="285">
        <f t="shared" si="26"/>
        <v>0</v>
      </c>
      <c r="V89" s="124"/>
      <c r="W89" s="281"/>
      <c r="X89" s="281"/>
      <c r="Y89" s="124"/>
      <c r="Z89" s="282">
        <f t="shared" si="27"/>
        <v>0</v>
      </c>
      <c r="AA89" s="283">
        <f t="shared" si="28"/>
        <v>0</v>
      </c>
      <c r="AB89" s="283">
        <f t="shared" si="28"/>
        <v>0</v>
      </c>
      <c r="AC89" s="284">
        <f t="shared" si="28"/>
        <v>0</v>
      </c>
      <c r="AD89" s="285">
        <f t="shared" si="29"/>
        <v>0</v>
      </c>
      <c r="AE89" s="124"/>
      <c r="AF89" s="281"/>
      <c r="AG89" s="281"/>
      <c r="AH89" s="124"/>
      <c r="AI89" s="282">
        <f t="shared" si="30"/>
        <v>0</v>
      </c>
      <c r="AJ89" s="283">
        <f t="shared" si="31"/>
        <v>0</v>
      </c>
      <c r="AK89" s="283">
        <f t="shared" si="31"/>
        <v>0</v>
      </c>
      <c r="AL89" s="284">
        <f t="shared" si="31"/>
        <v>0</v>
      </c>
      <c r="AM89" s="285">
        <f t="shared" si="32"/>
        <v>0</v>
      </c>
      <c r="AN89" s="124"/>
      <c r="AO89" s="281"/>
      <c r="AP89" s="281"/>
      <c r="AQ89" s="124"/>
      <c r="AR89" s="282">
        <f t="shared" si="33"/>
        <v>0</v>
      </c>
      <c r="AS89" s="283">
        <f t="shared" si="34"/>
        <v>0</v>
      </c>
      <c r="AT89" s="283">
        <f t="shared" si="34"/>
        <v>0</v>
      </c>
      <c r="AU89" s="284">
        <f t="shared" si="34"/>
        <v>0</v>
      </c>
      <c r="AV89" s="285">
        <f t="shared" si="35"/>
        <v>0</v>
      </c>
    </row>
    <row r="90" spans="1:48">
      <c r="A90" s="31">
        <f t="shared" si="36"/>
        <v>75</v>
      </c>
      <c r="B90" s="38">
        <f>Metadata!C98</f>
        <v>9.4213772576691626E-2</v>
      </c>
      <c r="C90" s="38">
        <f>Metadata!G98</f>
        <v>0.35999363401600504</v>
      </c>
      <c r="D90" s="280"/>
      <c r="E90" s="281"/>
      <c r="F90" s="281"/>
      <c r="G90" s="124"/>
      <c r="H90" s="282">
        <f t="shared" si="20"/>
        <v>0</v>
      </c>
      <c r="I90" s="283">
        <f t="shared" si="21"/>
        <v>0</v>
      </c>
      <c r="J90" s="283">
        <f t="shared" si="22"/>
        <v>0</v>
      </c>
      <c r="K90" s="284">
        <f t="shared" si="22"/>
        <v>0</v>
      </c>
      <c r="L90" s="285">
        <f t="shared" si="23"/>
        <v>0</v>
      </c>
      <c r="M90" s="124"/>
      <c r="N90" s="281"/>
      <c r="O90" s="281"/>
      <c r="P90" s="124"/>
      <c r="Q90" s="282">
        <f t="shared" si="24"/>
        <v>0</v>
      </c>
      <c r="R90" s="283">
        <f t="shared" si="25"/>
        <v>0</v>
      </c>
      <c r="S90" s="283">
        <f t="shared" si="25"/>
        <v>0</v>
      </c>
      <c r="T90" s="284">
        <f t="shared" si="25"/>
        <v>0</v>
      </c>
      <c r="U90" s="285">
        <f t="shared" si="26"/>
        <v>0</v>
      </c>
      <c r="V90" s="124"/>
      <c r="W90" s="281"/>
      <c r="X90" s="281"/>
      <c r="Y90" s="124"/>
      <c r="Z90" s="282">
        <f t="shared" si="27"/>
        <v>0</v>
      </c>
      <c r="AA90" s="283">
        <f t="shared" si="28"/>
        <v>0</v>
      </c>
      <c r="AB90" s="283">
        <f t="shared" si="28"/>
        <v>0</v>
      </c>
      <c r="AC90" s="284">
        <f t="shared" si="28"/>
        <v>0</v>
      </c>
      <c r="AD90" s="285">
        <f t="shared" si="29"/>
        <v>0</v>
      </c>
      <c r="AE90" s="124"/>
      <c r="AF90" s="281"/>
      <c r="AG90" s="281"/>
      <c r="AH90" s="124"/>
      <c r="AI90" s="282">
        <f t="shared" si="30"/>
        <v>0</v>
      </c>
      <c r="AJ90" s="283">
        <f t="shared" si="31"/>
        <v>0</v>
      </c>
      <c r="AK90" s="283">
        <f t="shared" si="31"/>
        <v>0</v>
      </c>
      <c r="AL90" s="284">
        <f t="shared" si="31"/>
        <v>0</v>
      </c>
      <c r="AM90" s="285">
        <f t="shared" si="32"/>
        <v>0</v>
      </c>
      <c r="AN90" s="124"/>
      <c r="AO90" s="281"/>
      <c r="AP90" s="281"/>
      <c r="AQ90" s="124"/>
      <c r="AR90" s="282">
        <f t="shared" si="33"/>
        <v>0</v>
      </c>
      <c r="AS90" s="283">
        <f t="shared" si="34"/>
        <v>0</v>
      </c>
      <c r="AT90" s="283">
        <f t="shared" si="34"/>
        <v>0</v>
      </c>
      <c r="AU90" s="284">
        <f t="shared" si="34"/>
        <v>0</v>
      </c>
      <c r="AV90" s="285">
        <f t="shared" si="35"/>
        <v>0</v>
      </c>
    </row>
    <row r="91" spans="1:48">
      <c r="A91" s="31">
        <f t="shared" si="36"/>
        <v>76</v>
      </c>
      <c r="B91" s="38">
        <f>Metadata!C99</f>
        <v>9.1915875684577208E-2</v>
      </c>
      <c r="C91" s="38">
        <f>Metadata!G99</f>
        <v>0.3561789573824391</v>
      </c>
      <c r="D91" s="280"/>
      <c r="E91" s="281"/>
      <c r="F91" s="281"/>
      <c r="G91" s="124"/>
      <c r="H91" s="282">
        <f t="shared" si="20"/>
        <v>0</v>
      </c>
      <c r="I91" s="283">
        <f t="shared" si="21"/>
        <v>0</v>
      </c>
      <c r="J91" s="283">
        <f t="shared" si="22"/>
        <v>0</v>
      </c>
      <c r="K91" s="284">
        <f t="shared" si="22"/>
        <v>0</v>
      </c>
      <c r="L91" s="285">
        <f t="shared" si="23"/>
        <v>0</v>
      </c>
      <c r="M91" s="124"/>
      <c r="N91" s="281"/>
      <c r="O91" s="281"/>
      <c r="P91" s="124"/>
      <c r="Q91" s="282">
        <f t="shared" si="24"/>
        <v>0</v>
      </c>
      <c r="R91" s="283">
        <f t="shared" si="25"/>
        <v>0</v>
      </c>
      <c r="S91" s="283">
        <f t="shared" si="25"/>
        <v>0</v>
      </c>
      <c r="T91" s="284">
        <f t="shared" si="25"/>
        <v>0</v>
      </c>
      <c r="U91" s="285">
        <f t="shared" si="26"/>
        <v>0</v>
      </c>
      <c r="V91" s="124"/>
      <c r="W91" s="281"/>
      <c r="X91" s="281"/>
      <c r="Y91" s="124"/>
      <c r="Z91" s="282">
        <f t="shared" si="27"/>
        <v>0</v>
      </c>
      <c r="AA91" s="283">
        <f t="shared" si="28"/>
        <v>0</v>
      </c>
      <c r="AB91" s="283">
        <f t="shared" si="28"/>
        <v>0</v>
      </c>
      <c r="AC91" s="284">
        <f t="shared" si="28"/>
        <v>0</v>
      </c>
      <c r="AD91" s="285">
        <f t="shared" si="29"/>
        <v>0</v>
      </c>
      <c r="AE91" s="124"/>
      <c r="AF91" s="281"/>
      <c r="AG91" s="281"/>
      <c r="AH91" s="124"/>
      <c r="AI91" s="282">
        <f t="shared" si="30"/>
        <v>0</v>
      </c>
      <c r="AJ91" s="283">
        <f t="shared" si="31"/>
        <v>0</v>
      </c>
      <c r="AK91" s="283">
        <f t="shared" si="31"/>
        <v>0</v>
      </c>
      <c r="AL91" s="284">
        <f t="shared" si="31"/>
        <v>0</v>
      </c>
      <c r="AM91" s="285">
        <f t="shared" si="32"/>
        <v>0</v>
      </c>
      <c r="AN91" s="124"/>
      <c r="AO91" s="281"/>
      <c r="AP91" s="281"/>
      <c r="AQ91" s="124"/>
      <c r="AR91" s="282">
        <f t="shared" si="33"/>
        <v>0</v>
      </c>
      <c r="AS91" s="283">
        <f t="shared" si="34"/>
        <v>0</v>
      </c>
      <c r="AT91" s="283">
        <f t="shared" si="34"/>
        <v>0</v>
      </c>
      <c r="AU91" s="284">
        <f t="shared" si="34"/>
        <v>0</v>
      </c>
      <c r="AV91" s="285">
        <f t="shared" si="35"/>
        <v>0</v>
      </c>
    </row>
    <row r="92" spans="1:48">
      <c r="A92" s="31">
        <f t="shared" si="36"/>
        <v>77</v>
      </c>
      <c r="B92" s="38">
        <f>Metadata!C100</f>
        <v>8.9674025058124107E-2</v>
      </c>
      <c r="C92" s="38">
        <f>Metadata!G100</f>
        <v>0.35240470301316806</v>
      </c>
      <c r="D92" s="280"/>
      <c r="E92" s="281"/>
      <c r="F92" s="281"/>
      <c r="G92" s="124"/>
      <c r="H92" s="282">
        <f t="shared" si="20"/>
        <v>0</v>
      </c>
      <c r="I92" s="283">
        <f t="shared" si="21"/>
        <v>0</v>
      </c>
      <c r="J92" s="283">
        <f t="shared" si="22"/>
        <v>0</v>
      </c>
      <c r="K92" s="284">
        <f t="shared" si="22"/>
        <v>0</v>
      </c>
      <c r="L92" s="285">
        <f t="shared" si="23"/>
        <v>0</v>
      </c>
      <c r="M92" s="124"/>
      <c r="N92" s="281"/>
      <c r="O92" s="281"/>
      <c r="P92" s="124"/>
      <c r="Q92" s="282">
        <f t="shared" si="24"/>
        <v>0</v>
      </c>
      <c r="R92" s="283">
        <f t="shared" si="25"/>
        <v>0</v>
      </c>
      <c r="S92" s="283">
        <f t="shared" si="25"/>
        <v>0</v>
      </c>
      <c r="T92" s="284">
        <f t="shared" si="25"/>
        <v>0</v>
      </c>
      <c r="U92" s="285">
        <f t="shared" si="26"/>
        <v>0</v>
      </c>
      <c r="V92" s="124"/>
      <c r="W92" s="281"/>
      <c r="X92" s="281"/>
      <c r="Y92" s="124"/>
      <c r="Z92" s="282">
        <f t="shared" si="27"/>
        <v>0</v>
      </c>
      <c r="AA92" s="283">
        <f t="shared" si="28"/>
        <v>0</v>
      </c>
      <c r="AB92" s="283">
        <f t="shared" si="28"/>
        <v>0</v>
      </c>
      <c r="AC92" s="284">
        <f t="shared" si="28"/>
        <v>0</v>
      </c>
      <c r="AD92" s="285">
        <f t="shared" si="29"/>
        <v>0</v>
      </c>
      <c r="AE92" s="124"/>
      <c r="AF92" s="281"/>
      <c r="AG92" s="281"/>
      <c r="AH92" s="124"/>
      <c r="AI92" s="282">
        <f t="shared" si="30"/>
        <v>0</v>
      </c>
      <c r="AJ92" s="283">
        <f t="shared" si="31"/>
        <v>0</v>
      </c>
      <c r="AK92" s="283">
        <f t="shared" si="31"/>
        <v>0</v>
      </c>
      <c r="AL92" s="284">
        <f t="shared" si="31"/>
        <v>0</v>
      </c>
      <c r="AM92" s="285">
        <f t="shared" si="32"/>
        <v>0</v>
      </c>
      <c r="AN92" s="124"/>
      <c r="AO92" s="281"/>
      <c r="AP92" s="281"/>
      <c r="AQ92" s="124"/>
      <c r="AR92" s="282">
        <f t="shared" si="33"/>
        <v>0</v>
      </c>
      <c r="AS92" s="283">
        <f t="shared" si="34"/>
        <v>0</v>
      </c>
      <c r="AT92" s="283">
        <f t="shared" si="34"/>
        <v>0</v>
      </c>
      <c r="AU92" s="284">
        <f t="shared" si="34"/>
        <v>0</v>
      </c>
      <c r="AV92" s="285">
        <f t="shared" si="35"/>
        <v>0</v>
      </c>
    </row>
    <row r="93" spans="1:48">
      <c r="A93" s="31">
        <f t="shared" si="36"/>
        <v>78</v>
      </c>
      <c r="B93" s="38">
        <f>Metadata!C101</f>
        <v>8.7486853715243035E-2</v>
      </c>
      <c r="C93" s="38">
        <f>Metadata!G101</f>
        <v>0.34867044257320901</v>
      </c>
      <c r="D93" s="280"/>
      <c r="E93" s="281"/>
      <c r="F93" s="281"/>
      <c r="G93" s="124"/>
      <c r="H93" s="282">
        <f t="shared" si="20"/>
        <v>0</v>
      </c>
      <c r="I93" s="283">
        <f t="shared" si="21"/>
        <v>0</v>
      </c>
      <c r="J93" s="283">
        <f t="shared" si="22"/>
        <v>0</v>
      </c>
      <c r="K93" s="284">
        <f t="shared" si="22"/>
        <v>0</v>
      </c>
      <c r="L93" s="285">
        <f t="shared" si="23"/>
        <v>0</v>
      </c>
      <c r="M93" s="124"/>
      <c r="N93" s="281"/>
      <c r="O93" s="281"/>
      <c r="P93" s="124"/>
      <c r="Q93" s="282">
        <f t="shared" si="24"/>
        <v>0</v>
      </c>
      <c r="R93" s="283">
        <f t="shared" si="25"/>
        <v>0</v>
      </c>
      <c r="S93" s="283">
        <f t="shared" si="25"/>
        <v>0</v>
      </c>
      <c r="T93" s="284">
        <f t="shared" si="25"/>
        <v>0</v>
      </c>
      <c r="U93" s="285">
        <f t="shared" si="26"/>
        <v>0</v>
      </c>
      <c r="V93" s="124"/>
      <c r="W93" s="281"/>
      <c r="X93" s="281"/>
      <c r="Y93" s="124"/>
      <c r="Z93" s="282">
        <f t="shared" si="27"/>
        <v>0</v>
      </c>
      <c r="AA93" s="283">
        <f t="shared" si="28"/>
        <v>0</v>
      </c>
      <c r="AB93" s="283">
        <f t="shared" si="28"/>
        <v>0</v>
      </c>
      <c r="AC93" s="284">
        <f t="shared" si="28"/>
        <v>0</v>
      </c>
      <c r="AD93" s="285">
        <f t="shared" si="29"/>
        <v>0</v>
      </c>
      <c r="AE93" s="124"/>
      <c r="AF93" s="281"/>
      <c r="AG93" s="281"/>
      <c r="AH93" s="124"/>
      <c r="AI93" s="282">
        <f t="shared" si="30"/>
        <v>0</v>
      </c>
      <c r="AJ93" s="283">
        <f t="shared" si="31"/>
        <v>0</v>
      </c>
      <c r="AK93" s="283">
        <f t="shared" si="31"/>
        <v>0</v>
      </c>
      <c r="AL93" s="284">
        <f t="shared" si="31"/>
        <v>0</v>
      </c>
      <c r="AM93" s="285">
        <f t="shared" si="32"/>
        <v>0</v>
      </c>
      <c r="AN93" s="124"/>
      <c r="AO93" s="281"/>
      <c r="AP93" s="281"/>
      <c r="AQ93" s="124"/>
      <c r="AR93" s="282">
        <f t="shared" si="33"/>
        <v>0</v>
      </c>
      <c r="AS93" s="283">
        <f t="shared" si="34"/>
        <v>0</v>
      </c>
      <c r="AT93" s="283">
        <f t="shared" si="34"/>
        <v>0</v>
      </c>
      <c r="AU93" s="284">
        <f t="shared" si="34"/>
        <v>0</v>
      </c>
      <c r="AV93" s="285">
        <f t="shared" si="35"/>
        <v>0</v>
      </c>
    </row>
    <row r="94" spans="1:48">
      <c r="A94" s="31">
        <f t="shared" si="36"/>
        <v>79</v>
      </c>
      <c r="B94" s="38">
        <f>Metadata!C102</f>
        <v>8.5353028014871254E-2</v>
      </c>
      <c r="C94" s="38">
        <f>Metadata!G102</f>
        <v>0.34497575226643551</v>
      </c>
      <c r="D94" s="280"/>
      <c r="E94" s="281"/>
      <c r="F94" s="281"/>
      <c r="G94" s="124"/>
      <c r="H94" s="282">
        <f t="shared" si="20"/>
        <v>0</v>
      </c>
      <c r="I94" s="283">
        <f t="shared" si="21"/>
        <v>0</v>
      </c>
      <c r="J94" s="283">
        <f t="shared" si="22"/>
        <v>0</v>
      </c>
      <c r="K94" s="284">
        <f t="shared" si="22"/>
        <v>0</v>
      </c>
      <c r="L94" s="285">
        <f t="shared" si="23"/>
        <v>0</v>
      </c>
      <c r="M94" s="124"/>
      <c r="N94" s="281"/>
      <c r="O94" s="281"/>
      <c r="P94" s="124"/>
      <c r="Q94" s="282">
        <f t="shared" si="24"/>
        <v>0</v>
      </c>
      <c r="R94" s="283">
        <f t="shared" si="25"/>
        <v>0</v>
      </c>
      <c r="S94" s="283">
        <f t="shared" si="25"/>
        <v>0</v>
      </c>
      <c r="T94" s="284">
        <f t="shared" si="25"/>
        <v>0</v>
      </c>
      <c r="U94" s="285">
        <f t="shared" si="26"/>
        <v>0</v>
      </c>
      <c r="V94" s="124"/>
      <c r="W94" s="281"/>
      <c r="X94" s="281"/>
      <c r="Y94" s="124"/>
      <c r="Z94" s="282">
        <f t="shared" si="27"/>
        <v>0</v>
      </c>
      <c r="AA94" s="283">
        <f t="shared" si="28"/>
        <v>0</v>
      </c>
      <c r="AB94" s="283">
        <f t="shared" si="28"/>
        <v>0</v>
      </c>
      <c r="AC94" s="284">
        <f t="shared" si="28"/>
        <v>0</v>
      </c>
      <c r="AD94" s="285">
        <f t="shared" si="29"/>
        <v>0</v>
      </c>
      <c r="AE94" s="124"/>
      <c r="AF94" s="281"/>
      <c r="AG94" s="281"/>
      <c r="AH94" s="124"/>
      <c r="AI94" s="282">
        <f t="shared" si="30"/>
        <v>0</v>
      </c>
      <c r="AJ94" s="283">
        <f t="shared" si="31"/>
        <v>0</v>
      </c>
      <c r="AK94" s="283">
        <f t="shared" si="31"/>
        <v>0</v>
      </c>
      <c r="AL94" s="284">
        <f t="shared" si="31"/>
        <v>0</v>
      </c>
      <c r="AM94" s="285">
        <f t="shared" si="32"/>
        <v>0</v>
      </c>
      <c r="AN94" s="124"/>
      <c r="AO94" s="281"/>
      <c r="AP94" s="281"/>
      <c r="AQ94" s="124"/>
      <c r="AR94" s="282">
        <f t="shared" si="33"/>
        <v>0</v>
      </c>
      <c r="AS94" s="283">
        <f t="shared" si="34"/>
        <v>0</v>
      </c>
      <c r="AT94" s="283">
        <f t="shared" si="34"/>
        <v>0</v>
      </c>
      <c r="AU94" s="284">
        <f t="shared" si="34"/>
        <v>0</v>
      </c>
      <c r="AV94" s="285">
        <f t="shared" si="35"/>
        <v>0</v>
      </c>
    </row>
    <row r="95" spans="1:48">
      <c r="A95" s="31">
        <f t="shared" si="36"/>
        <v>80</v>
      </c>
      <c r="B95" s="38">
        <f>Metadata!C103</f>
        <v>8.3271246843776847E-2</v>
      </c>
      <c r="C95" s="38">
        <f>Metadata!G103</f>
        <v>0.34132021278748159</v>
      </c>
      <c r="D95" s="280"/>
      <c r="E95" s="281"/>
      <c r="F95" s="281"/>
      <c r="G95" s="124"/>
      <c r="H95" s="282">
        <f t="shared" si="20"/>
        <v>0</v>
      </c>
      <c r="I95" s="283">
        <f t="shared" si="21"/>
        <v>0</v>
      </c>
      <c r="J95" s="283">
        <f t="shared" si="22"/>
        <v>0</v>
      </c>
      <c r="K95" s="284">
        <f t="shared" si="22"/>
        <v>0</v>
      </c>
      <c r="L95" s="285">
        <f t="shared" si="23"/>
        <v>0</v>
      </c>
      <c r="M95" s="124"/>
      <c r="N95" s="281"/>
      <c r="O95" s="281"/>
      <c r="P95" s="124"/>
      <c r="Q95" s="282">
        <f t="shared" si="24"/>
        <v>0</v>
      </c>
      <c r="R95" s="283">
        <f t="shared" si="25"/>
        <v>0</v>
      </c>
      <c r="S95" s="283">
        <f t="shared" si="25"/>
        <v>0</v>
      </c>
      <c r="T95" s="284">
        <f t="shared" si="25"/>
        <v>0</v>
      </c>
      <c r="U95" s="285">
        <f t="shared" si="26"/>
        <v>0</v>
      </c>
      <c r="V95" s="124"/>
      <c r="W95" s="281"/>
      <c r="X95" s="281"/>
      <c r="Y95" s="124"/>
      <c r="Z95" s="282">
        <f t="shared" si="27"/>
        <v>0</v>
      </c>
      <c r="AA95" s="283">
        <f t="shared" si="28"/>
        <v>0</v>
      </c>
      <c r="AB95" s="283">
        <f t="shared" si="28"/>
        <v>0</v>
      </c>
      <c r="AC95" s="284">
        <f t="shared" si="28"/>
        <v>0</v>
      </c>
      <c r="AD95" s="285">
        <f t="shared" si="29"/>
        <v>0</v>
      </c>
      <c r="AE95" s="124"/>
      <c r="AF95" s="281"/>
      <c r="AG95" s="281"/>
      <c r="AH95" s="124"/>
      <c r="AI95" s="282">
        <f t="shared" si="30"/>
        <v>0</v>
      </c>
      <c r="AJ95" s="283">
        <f t="shared" si="31"/>
        <v>0</v>
      </c>
      <c r="AK95" s="283">
        <f t="shared" si="31"/>
        <v>0</v>
      </c>
      <c r="AL95" s="284">
        <f t="shared" si="31"/>
        <v>0</v>
      </c>
      <c r="AM95" s="285">
        <f t="shared" si="32"/>
        <v>0</v>
      </c>
      <c r="AN95" s="124"/>
      <c r="AO95" s="281"/>
      <c r="AP95" s="281"/>
      <c r="AQ95" s="124"/>
      <c r="AR95" s="282">
        <f t="shared" si="33"/>
        <v>0</v>
      </c>
      <c r="AS95" s="283">
        <f t="shared" si="34"/>
        <v>0</v>
      </c>
      <c r="AT95" s="283">
        <f t="shared" si="34"/>
        <v>0</v>
      </c>
      <c r="AU95" s="284">
        <f t="shared" si="34"/>
        <v>0</v>
      </c>
      <c r="AV95" s="285">
        <f t="shared" si="35"/>
        <v>0</v>
      </c>
    </row>
    <row r="96" spans="1:48">
      <c r="A96" s="31">
        <f t="shared" si="36"/>
        <v>81</v>
      </c>
      <c r="B96" s="38">
        <f>Metadata!C104</f>
        <v>8.1240240823196933E-2</v>
      </c>
      <c r="C96" s="38">
        <f>Metadata!G104</f>
        <v>0.33770340927415538</v>
      </c>
      <c r="D96" s="280"/>
      <c r="E96" s="281"/>
      <c r="F96" s="281"/>
      <c r="G96" s="124"/>
      <c r="H96" s="282">
        <f t="shared" si="20"/>
        <v>0</v>
      </c>
      <c r="I96" s="283">
        <f t="shared" si="21"/>
        <v>0</v>
      </c>
      <c r="J96" s="283">
        <f t="shared" si="22"/>
        <v>0</v>
      </c>
      <c r="K96" s="284">
        <f t="shared" si="22"/>
        <v>0</v>
      </c>
      <c r="L96" s="285">
        <f t="shared" si="23"/>
        <v>0</v>
      </c>
      <c r="M96" s="124"/>
      <c r="N96" s="281"/>
      <c r="O96" s="281"/>
      <c r="P96" s="124"/>
      <c r="Q96" s="282">
        <f t="shared" si="24"/>
        <v>0</v>
      </c>
      <c r="R96" s="283">
        <f t="shared" si="25"/>
        <v>0</v>
      </c>
      <c r="S96" s="283">
        <f t="shared" si="25"/>
        <v>0</v>
      </c>
      <c r="T96" s="284">
        <f t="shared" si="25"/>
        <v>0</v>
      </c>
      <c r="U96" s="285">
        <f t="shared" si="26"/>
        <v>0</v>
      </c>
      <c r="V96" s="124"/>
      <c r="W96" s="281"/>
      <c r="X96" s="281"/>
      <c r="Y96" s="124"/>
      <c r="Z96" s="282">
        <f t="shared" si="27"/>
        <v>0</v>
      </c>
      <c r="AA96" s="283">
        <f t="shared" si="28"/>
        <v>0</v>
      </c>
      <c r="AB96" s="283">
        <f t="shared" si="28"/>
        <v>0</v>
      </c>
      <c r="AC96" s="284">
        <f t="shared" si="28"/>
        <v>0</v>
      </c>
      <c r="AD96" s="285">
        <f t="shared" si="29"/>
        <v>0</v>
      </c>
      <c r="AE96" s="124"/>
      <c r="AF96" s="281"/>
      <c r="AG96" s="281"/>
      <c r="AH96" s="124"/>
      <c r="AI96" s="282">
        <f t="shared" si="30"/>
        <v>0</v>
      </c>
      <c r="AJ96" s="283">
        <f t="shared" si="31"/>
        <v>0</v>
      </c>
      <c r="AK96" s="283">
        <f t="shared" si="31"/>
        <v>0</v>
      </c>
      <c r="AL96" s="284">
        <f t="shared" si="31"/>
        <v>0</v>
      </c>
      <c r="AM96" s="285">
        <f t="shared" si="32"/>
        <v>0</v>
      </c>
      <c r="AN96" s="124"/>
      <c r="AO96" s="281"/>
      <c r="AP96" s="281"/>
      <c r="AQ96" s="124"/>
      <c r="AR96" s="282">
        <f t="shared" si="33"/>
        <v>0</v>
      </c>
      <c r="AS96" s="283">
        <f t="shared" si="34"/>
        <v>0</v>
      </c>
      <c r="AT96" s="283">
        <f t="shared" si="34"/>
        <v>0</v>
      </c>
      <c r="AU96" s="284">
        <f t="shared" si="34"/>
        <v>0</v>
      </c>
      <c r="AV96" s="285">
        <f t="shared" si="35"/>
        <v>0</v>
      </c>
    </row>
    <row r="97" spans="1:48">
      <c r="A97" s="31">
        <f t="shared" si="36"/>
        <v>82</v>
      </c>
      <c r="B97" s="38">
        <f>Metadata!C105</f>
        <v>7.9258771534826286E-2</v>
      </c>
      <c r="C97" s="38">
        <f>Metadata!G105</f>
        <v>0.33412493126035697</v>
      </c>
      <c r="D97" s="280"/>
      <c r="E97" s="281"/>
      <c r="F97" s="281"/>
      <c r="G97" s="124"/>
      <c r="H97" s="282">
        <f t="shared" si="20"/>
        <v>0</v>
      </c>
      <c r="I97" s="283">
        <f t="shared" si="21"/>
        <v>0</v>
      </c>
      <c r="J97" s="283">
        <f t="shared" si="22"/>
        <v>0</v>
      </c>
      <c r="K97" s="284">
        <f t="shared" si="22"/>
        <v>0</v>
      </c>
      <c r="L97" s="285">
        <f t="shared" si="23"/>
        <v>0</v>
      </c>
      <c r="M97" s="124"/>
      <c r="N97" s="281"/>
      <c r="O97" s="281"/>
      <c r="P97" s="124"/>
      <c r="Q97" s="282">
        <f t="shared" si="24"/>
        <v>0</v>
      </c>
      <c r="R97" s="283">
        <f t="shared" si="25"/>
        <v>0</v>
      </c>
      <c r="S97" s="283">
        <f t="shared" si="25"/>
        <v>0</v>
      </c>
      <c r="T97" s="284">
        <f t="shared" si="25"/>
        <v>0</v>
      </c>
      <c r="U97" s="285">
        <f t="shared" si="26"/>
        <v>0</v>
      </c>
      <c r="V97" s="124"/>
      <c r="W97" s="281"/>
      <c r="X97" s="281"/>
      <c r="Y97" s="124"/>
      <c r="Z97" s="282">
        <f t="shared" si="27"/>
        <v>0</v>
      </c>
      <c r="AA97" s="283">
        <f t="shared" si="28"/>
        <v>0</v>
      </c>
      <c r="AB97" s="283">
        <f t="shared" si="28"/>
        <v>0</v>
      </c>
      <c r="AC97" s="284">
        <f t="shared" si="28"/>
        <v>0</v>
      </c>
      <c r="AD97" s="285">
        <f t="shared" si="29"/>
        <v>0</v>
      </c>
      <c r="AE97" s="124"/>
      <c r="AF97" s="281"/>
      <c r="AG97" s="281"/>
      <c r="AH97" s="124"/>
      <c r="AI97" s="282">
        <f t="shared" si="30"/>
        <v>0</v>
      </c>
      <c r="AJ97" s="283">
        <f t="shared" si="31"/>
        <v>0</v>
      </c>
      <c r="AK97" s="283">
        <f t="shared" si="31"/>
        <v>0</v>
      </c>
      <c r="AL97" s="284">
        <f t="shared" si="31"/>
        <v>0</v>
      </c>
      <c r="AM97" s="285">
        <f t="shared" si="32"/>
        <v>0</v>
      </c>
      <c r="AN97" s="124"/>
      <c r="AO97" s="281"/>
      <c r="AP97" s="281"/>
      <c r="AQ97" s="124"/>
      <c r="AR97" s="282">
        <f t="shared" si="33"/>
        <v>0</v>
      </c>
      <c r="AS97" s="283">
        <f t="shared" si="34"/>
        <v>0</v>
      </c>
      <c r="AT97" s="283">
        <f t="shared" si="34"/>
        <v>0</v>
      </c>
      <c r="AU97" s="284">
        <f t="shared" si="34"/>
        <v>0</v>
      </c>
      <c r="AV97" s="285">
        <f t="shared" si="35"/>
        <v>0</v>
      </c>
    </row>
    <row r="98" spans="1:48">
      <c r="A98" s="31">
        <f t="shared" si="36"/>
        <v>83</v>
      </c>
      <c r="B98" s="38">
        <f>Metadata!C106</f>
        <v>7.7325630765684189E-2</v>
      </c>
      <c r="C98" s="38">
        <f>Metadata!G106</f>
        <v>0.33058437262949508</v>
      </c>
      <c r="D98" s="280"/>
      <c r="E98" s="281"/>
      <c r="F98" s="281"/>
      <c r="G98" s="124"/>
      <c r="H98" s="282">
        <f t="shared" si="20"/>
        <v>0</v>
      </c>
      <c r="I98" s="283">
        <f t="shared" si="21"/>
        <v>0</v>
      </c>
      <c r="J98" s="283">
        <f t="shared" si="22"/>
        <v>0</v>
      </c>
      <c r="K98" s="284">
        <f t="shared" si="22"/>
        <v>0</v>
      </c>
      <c r="L98" s="285">
        <f t="shared" si="23"/>
        <v>0</v>
      </c>
      <c r="M98" s="124"/>
      <c r="N98" s="281"/>
      <c r="O98" s="281"/>
      <c r="P98" s="124"/>
      <c r="Q98" s="282">
        <f t="shared" si="24"/>
        <v>0</v>
      </c>
      <c r="R98" s="283">
        <f t="shared" si="25"/>
        <v>0</v>
      </c>
      <c r="S98" s="283">
        <f t="shared" si="25"/>
        <v>0</v>
      </c>
      <c r="T98" s="284">
        <f t="shared" si="25"/>
        <v>0</v>
      </c>
      <c r="U98" s="285">
        <f t="shared" si="26"/>
        <v>0</v>
      </c>
      <c r="V98" s="124"/>
      <c r="W98" s="281"/>
      <c r="X98" s="281"/>
      <c r="Y98" s="124"/>
      <c r="Z98" s="282">
        <f t="shared" si="27"/>
        <v>0</v>
      </c>
      <c r="AA98" s="283">
        <f t="shared" si="28"/>
        <v>0</v>
      </c>
      <c r="AB98" s="283">
        <f t="shared" si="28"/>
        <v>0</v>
      </c>
      <c r="AC98" s="284">
        <f t="shared" si="28"/>
        <v>0</v>
      </c>
      <c r="AD98" s="285">
        <f t="shared" si="29"/>
        <v>0</v>
      </c>
      <c r="AE98" s="124"/>
      <c r="AF98" s="281"/>
      <c r="AG98" s="281"/>
      <c r="AH98" s="124"/>
      <c r="AI98" s="282">
        <f t="shared" si="30"/>
        <v>0</v>
      </c>
      <c r="AJ98" s="283">
        <f t="shared" si="31"/>
        <v>0</v>
      </c>
      <c r="AK98" s="283">
        <f t="shared" si="31"/>
        <v>0</v>
      </c>
      <c r="AL98" s="284">
        <f t="shared" si="31"/>
        <v>0</v>
      </c>
      <c r="AM98" s="285">
        <f t="shared" si="32"/>
        <v>0</v>
      </c>
      <c r="AN98" s="124"/>
      <c r="AO98" s="281"/>
      <c r="AP98" s="281"/>
      <c r="AQ98" s="124"/>
      <c r="AR98" s="282">
        <f t="shared" si="33"/>
        <v>0</v>
      </c>
      <c r="AS98" s="283">
        <f t="shared" si="34"/>
        <v>0</v>
      </c>
      <c r="AT98" s="283">
        <f t="shared" si="34"/>
        <v>0</v>
      </c>
      <c r="AU98" s="284">
        <f t="shared" si="34"/>
        <v>0</v>
      </c>
      <c r="AV98" s="285">
        <f t="shared" si="35"/>
        <v>0</v>
      </c>
    </row>
    <row r="99" spans="1:48">
      <c r="A99" s="31">
        <f t="shared" si="36"/>
        <v>84</v>
      </c>
      <c r="B99" s="38">
        <f>Metadata!C107</f>
        <v>7.5439639771399211E-2</v>
      </c>
      <c r="C99" s="38">
        <f>Metadata!G107</f>
        <v>0.32708133156839753</v>
      </c>
      <c r="D99" s="280"/>
      <c r="E99" s="281"/>
      <c r="F99" s="281"/>
      <c r="G99" s="124"/>
      <c r="H99" s="282">
        <f t="shared" si="20"/>
        <v>0</v>
      </c>
      <c r="I99" s="283">
        <f t="shared" si="21"/>
        <v>0</v>
      </c>
      <c r="J99" s="283">
        <f t="shared" si="22"/>
        <v>0</v>
      </c>
      <c r="K99" s="284">
        <f t="shared" si="22"/>
        <v>0</v>
      </c>
      <c r="L99" s="285">
        <f t="shared" si="23"/>
        <v>0</v>
      </c>
      <c r="M99" s="124"/>
      <c r="N99" s="281"/>
      <c r="O99" s="281"/>
      <c r="P99" s="124"/>
      <c r="Q99" s="282">
        <f t="shared" si="24"/>
        <v>0</v>
      </c>
      <c r="R99" s="283">
        <f t="shared" si="25"/>
        <v>0</v>
      </c>
      <c r="S99" s="283">
        <f t="shared" si="25"/>
        <v>0</v>
      </c>
      <c r="T99" s="284">
        <f t="shared" si="25"/>
        <v>0</v>
      </c>
      <c r="U99" s="285">
        <f t="shared" si="26"/>
        <v>0</v>
      </c>
      <c r="V99" s="124"/>
      <c r="W99" s="281"/>
      <c r="X99" s="281"/>
      <c r="Y99" s="124"/>
      <c r="Z99" s="282">
        <f t="shared" si="27"/>
        <v>0</v>
      </c>
      <c r="AA99" s="283">
        <f t="shared" si="28"/>
        <v>0</v>
      </c>
      <c r="AB99" s="283">
        <f t="shared" si="28"/>
        <v>0</v>
      </c>
      <c r="AC99" s="284">
        <f t="shared" si="28"/>
        <v>0</v>
      </c>
      <c r="AD99" s="285">
        <f t="shared" si="29"/>
        <v>0</v>
      </c>
      <c r="AE99" s="124"/>
      <c r="AF99" s="281"/>
      <c r="AG99" s="281"/>
      <c r="AH99" s="124"/>
      <c r="AI99" s="282">
        <f t="shared" si="30"/>
        <v>0</v>
      </c>
      <c r="AJ99" s="283">
        <f t="shared" si="31"/>
        <v>0</v>
      </c>
      <c r="AK99" s="283">
        <f t="shared" si="31"/>
        <v>0</v>
      </c>
      <c r="AL99" s="284">
        <f t="shared" si="31"/>
        <v>0</v>
      </c>
      <c r="AM99" s="285">
        <f t="shared" si="32"/>
        <v>0</v>
      </c>
      <c r="AN99" s="124"/>
      <c r="AO99" s="281"/>
      <c r="AP99" s="281"/>
      <c r="AQ99" s="124"/>
      <c r="AR99" s="282">
        <f t="shared" si="33"/>
        <v>0</v>
      </c>
      <c r="AS99" s="283">
        <f t="shared" si="34"/>
        <v>0</v>
      </c>
      <c r="AT99" s="283">
        <f t="shared" si="34"/>
        <v>0</v>
      </c>
      <c r="AU99" s="284">
        <f t="shared" si="34"/>
        <v>0</v>
      </c>
      <c r="AV99" s="285">
        <f t="shared" si="35"/>
        <v>0</v>
      </c>
    </row>
    <row r="100" spans="1:48">
      <c r="A100" s="31">
        <f t="shared" si="36"/>
        <v>85</v>
      </c>
      <c r="B100" s="38">
        <f>Metadata!C108</f>
        <v>7.3599648557462649E-2</v>
      </c>
      <c r="C100" s="38">
        <f>Metadata!G108</f>
        <v>0.32361541052171</v>
      </c>
      <c r="D100" s="280"/>
      <c r="E100" s="281"/>
      <c r="F100" s="281"/>
      <c r="G100" s="124"/>
      <c r="H100" s="282">
        <f t="shared" si="20"/>
        <v>0</v>
      </c>
      <c r="I100" s="283">
        <f t="shared" si="21"/>
        <v>0</v>
      </c>
      <c r="J100" s="283">
        <f t="shared" si="22"/>
        <v>0</v>
      </c>
      <c r="K100" s="284">
        <f t="shared" si="22"/>
        <v>0</v>
      </c>
      <c r="L100" s="285">
        <f t="shared" si="23"/>
        <v>0</v>
      </c>
      <c r="M100" s="124"/>
      <c r="N100" s="281"/>
      <c r="O100" s="281"/>
      <c r="P100" s="124"/>
      <c r="Q100" s="282">
        <f t="shared" si="24"/>
        <v>0</v>
      </c>
      <c r="R100" s="283">
        <f t="shared" si="25"/>
        <v>0</v>
      </c>
      <c r="S100" s="283">
        <f t="shared" si="25"/>
        <v>0</v>
      </c>
      <c r="T100" s="284">
        <f t="shared" si="25"/>
        <v>0</v>
      </c>
      <c r="U100" s="285">
        <f t="shared" si="26"/>
        <v>0</v>
      </c>
      <c r="V100" s="124"/>
      <c r="W100" s="281"/>
      <c r="X100" s="281"/>
      <c r="Y100" s="124"/>
      <c r="Z100" s="282">
        <f t="shared" si="27"/>
        <v>0</v>
      </c>
      <c r="AA100" s="283">
        <f t="shared" si="28"/>
        <v>0</v>
      </c>
      <c r="AB100" s="283">
        <f t="shared" si="28"/>
        <v>0</v>
      </c>
      <c r="AC100" s="284">
        <f t="shared" si="28"/>
        <v>0</v>
      </c>
      <c r="AD100" s="285">
        <f t="shared" si="29"/>
        <v>0</v>
      </c>
      <c r="AE100" s="124"/>
      <c r="AF100" s="281"/>
      <c r="AG100" s="281"/>
      <c r="AH100" s="124"/>
      <c r="AI100" s="282">
        <f t="shared" si="30"/>
        <v>0</v>
      </c>
      <c r="AJ100" s="283">
        <f t="shared" si="31"/>
        <v>0</v>
      </c>
      <c r="AK100" s="283">
        <f t="shared" si="31"/>
        <v>0</v>
      </c>
      <c r="AL100" s="284">
        <f t="shared" si="31"/>
        <v>0</v>
      </c>
      <c r="AM100" s="285">
        <f t="shared" si="32"/>
        <v>0</v>
      </c>
      <c r="AN100" s="124"/>
      <c r="AO100" s="281"/>
      <c r="AP100" s="281"/>
      <c r="AQ100" s="124"/>
      <c r="AR100" s="282">
        <f t="shared" si="33"/>
        <v>0</v>
      </c>
      <c r="AS100" s="283">
        <f t="shared" si="34"/>
        <v>0</v>
      </c>
      <c r="AT100" s="283">
        <f t="shared" si="34"/>
        <v>0</v>
      </c>
      <c r="AU100" s="284">
        <f t="shared" si="34"/>
        <v>0</v>
      </c>
      <c r="AV100" s="285">
        <f t="shared" si="35"/>
        <v>0</v>
      </c>
    </row>
    <row r="101" spans="1:48">
      <c r="A101" s="31">
        <f t="shared" si="36"/>
        <v>86</v>
      </c>
      <c r="B101" s="38">
        <f>Metadata!C109</f>
        <v>7.1804535178012344E-2</v>
      </c>
      <c r="C101" s="38">
        <f>Metadata!G109</f>
        <v>0.320186216146778</v>
      </c>
      <c r="D101" s="280"/>
      <c r="E101" s="281"/>
      <c r="F101" s="281"/>
      <c r="G101" s="124"/>
      <c r="H101" s="282">
        <f t="shared" si="20"/>
        <v>0</v>
      </c>
      <c r="I101" s="283">
        <f t="shared" si="21"/>
        <v>0</v>
      </c>
      <c r="J101" s="283">
        <f t="shared" si="22"/>
        <v>0</v>
      </c>
      <c r="K101" s="284">
        <f t="shared" si="22"/>
        <v>0</v>
      </c>
      <c r="L101" s="285">
        <f t="shared" si="23"/>
        <v>0</v>
      </c>
      <c r="M101" s="124"/>
      <c r="N101" s="281"/>
      <c r="O101" s="281"/>
      <c r="P101" s="124"/>
      <c r="Q101" s="282">
        <f t="shared" si="24"/>
        <v>0</v>
      </c>
      <c r="R101" s="283">
        <f t="shared" si="25"/>
        <v>0</v>
      </c>
      <c r="S101" s="283">
        <f t="shared" si="25"/>
        <v>0</v>
      </c>
      <c r="T101" s="284">
        <f t="shared" si="25"/>
        <v>0</v>
      </c>
      <c r="U101" s="285">
        <f t="shared" si="26"/>
        <v>0</v>
      </c>
      <c r="V101" s="124"/>
      <c r="W101" s="281"/>
      <c r="X101" s="281"/>
      <c r="Y101" s="124"/>
      <c r="Z101" s="282">
        <f t="shared" si="27"/>
        <v>0</v>
      </c>
      <c r="AA101" s="283">
        <f t="shared" si="28"/>
        <v>0</v>
      </c>
      <c r="AB101" s="283">
        <f t="shared" si="28"/>
        <v>0</v>
      </c>
      <c r="AC101" s="284">
        <f t="shared" si="28"/>
        <v>0</v>
      </c>
      <c r="AD101" s="285">
        <f t="shared" si="29"/>
        <v>0</v>
      </c>
      <c r="AE101" s="124"/>
      <c r="AF101" s="281"/>
      <c r="AG101" s="281"/>
      <c r="AH101" s="124"/>
      <c r="AI101" s="282">
        <f t="shared" si="30"/>
        <v>0</v>
      </c>
      <c r="AJ101" s="283">
        <f t="shared" si="31"/>
        <v>0</v>
      </c>
      <c r="AK101" s="283">
        <f t="shared" si="31"/>
        <v>0</v>
      </c>
      <c r="AL101" s="284">
        <f t="shared" si="31"/>
        <v>0</v>
      </c>
      <c r="AM101" s="285">
        <f t="shared" si="32"/>
        <v>0</v>
      </c>
      <c r="AN101" s="124"/>
      <c r="AO101" s="281"/>
      <c r="AP101" s="281"/>
      <c r="AQ101" s="124"/>
      <c r="AR101" s="282">
        <f t="shared" si="33"/>
        <v>0</v>
      </c>
      <c r="AS101" s="283">
        <f t="shared" si="34"/>
        <v>0</v>
      </c>
      <c r="AT101" s="283">
        <f t="shared" si="34"/>
        <v>0</v>
      </c>
      <c r="AU101" s="284">
        <f t="shared" si="34"/>
        <v>0</v>
      </c>
      <c r="AV101" s="285">
        <f t="shared" si="35"/>
        <v>0</v>
      </c>
    </row>
    <row r="102" spans="1:48">
      <c r="A102" s="31">
        <f t="shared" si="36"/>
        <v>87</v>
      </c>
      <c r="B102" s="38">
        <f>Metadata!C110</f>
        <v>7.0053205051719372E-2</v>
      </c>
      <c r="C102" s="38">
        <f>Metadata!G110</f>
        <v>0.31679335926900692</v>
      </c>
      <c r="D102" s="280"/>
      <c r="E102" s="281"/>
      <c r="F102" s="281"/>
      <c r="G102" s="124"/>
      <c r="H102" s="282">
        <f t="shared" si="20"/>
        <v>0</v>
      </c>
      <c r="I102" s="283">
        <f t="shared" si="21"/>
        <v>0</v>
      </c>
      <c r="J102" s="283">
        <f t="shared" si="22"/>
        <v>0</v>
      </c>
      <c r="K102" s="284">
        <f t="shared" si="22"/>
        <v>0</v>
      </c>
      <c r="L102" s="285">
        <f t="shared" si="23"/>
        <v>0</v>
      </c>
      <c r="M102" s="124"/>
      <c r="N102" s="281"/>
      <c r="O102" s="281"/>
      <c r="P102" s="124"/>
      <c r="Q102" s="282">
        <f t="shared" si="24"/>
        <v>0</v>
      </c>
      <c r="R102" s="283">
        <f t="shared" si="25"/>
        <v>0</v>
      </c>
      <c r="S102" s="283">
        <f t="shared" si="25"/>
        <v>0</v>
      </c>
      <c r="T102" s="284">
        <f t="shared" si="25"/>
        <v>0</v>
      </c>
      <c r="U102" s="285">
        <f t="shared" si="26"/>
        <v>0</v>
      </c>
      <c r="V102" s="124"/>
      <c r="W102" s="281"/>
      <c r="X102" s="281"/>
      <c r="Y102" s="124"/>
      <c r="Z102" s="282">
        <f t="shared" si="27"/>
        <v>0</v>
      </c>
      <c r="AA102" s="283">
        <f t="shared" si="28"/>
        <v>0</v>
      </c>
      <c r="AB102" s="283">
        <f t="shared" si="28"/>
        <v>0</v>
      </c>
      <c r="AC102" s="284">
        <f t="shared" si="28"/>
        <v>0</v>
      </c>
      <c r="AD102" s="285">
        <f t="shared" si="29"/>
        <v>0</v>
      </c>
      <c r="AE102" s="124"/>
      <c r="AF102" s="281"/>
      <c r="AG102" s="281"/>
      <c r="AH102" s="124"/>
      <c r="AI102" s="282">
        <f t="shared" si="30"/>
        <v>0</v>
      </c>
      <c r="AJ102" s="283">
        <f t="shared" si="31"/>
        <v>0</v>
      </c>
      <c r="AK102" s="283">
        <f t="shared" si="31"/>
        <v>0</v>
      </c>
      <c r="AL102" s="284">
        <f t="shared" si="31"/>
        <v>0</v>
      </c>
      <c r="AM102" s="285">
        <f t="shared" si="32"/>
        <v>0</v>
      </c>
      <c r="AN102" s="124"/>
      <c r="AO102" s="281"/>
      <c r="AP102" s="281"/>
      <c r="AQ102" s="124"/>
      <c r="AR102" s="282">
        <f t="shared" si="33"/>
        <v>0</v>
      </c>
      <c r="AS102" s="283">
        <f t="shared" si="34"/>
        <v>0</v>
      </c>
      <c r="AT102" s="283">
        <f t="shared" si="34"/>
        <v>0</v>
      </c>
      <c r="AU102" s="284">
        <f t="shared" si="34"/>
        <v>0</v>
      </c>
      <c r="AV102" s="285">
        <f t="shared" si="35"/>
        <v>0</v>
      </c>
    </row>
    <row r="103" spans="1:48">
      <c r="A103" s="31">
        <f t="shared" si="36"/>
        <v>88</v>
      </c>
      <c r="B103" s="38">
        <f>Metadata!C111</f>
        <v>6.8344590294360366E-2</v>
      </c>
      <c r="C103" s="38">
        <f>Metadata!G111</f>
        <v>0.31343645483769522</v>
      </c>
      <c r="D103" s="280"/>
      <c r="E103" s="281"/>
      <c r="F103" s="281"/>
      <c r="G103" s="124"/>
      <c r="H103" s="282">
        <f t="shared" si="20"/>
        <v>0</v>
      </c>
      <c r="I103" s="283">
        <f t="shared" si="21"/>
        <v>0</v>
      </c>
      <c r="J103" s="283">
        <f t="shared" si="22"/>
        <v>0</v>
      </c>
      <c r="K103" s="284">
        <f t="shared" si="22"/>
        <v>0</v>
      </c>
      <c r="L103" s="285">
        <f t="shared" si="23"/>
        <v>0</v>
      </c>
      <c r="M103" s="124"/>
      <c r="N103" s="281"/>
      <c r="O103" s="281"/>
      <c r="P103" s="124"/>
      <c r="Q103" s="282">
        <f t="shared" si="24"/>
        <v>0</v>
      </c>
      <c r="R103" s="283">
        <f t="shared" si="25"/>
        <v>0</v>
      </c>
      <c r="S103" s="283">
        <f t="shared" si="25"/>
        <v>0</v>
      </c>
      <c r="T103" s="284">
        <f t="shared" si="25"/>
        <v>0</v>
      </c>
      <c r="U103" s="285">
        <f t="shared" si="26"/>
        <v>0</v>
      </c>
      <c r="V103" s="124"/>
      <c r="W103" s="281"/>
      <c r="X103" s="281"/>
      <c r="Y103" s="124"/>
      <c r="Z103" s="282">
        <f t="shared" si="27"/>
        <v>0</v>
      </c>
      <c r="AA103" s="283">
        <f t="shared" si="28"/>
        <v>0</v>
      </c>
      <c r="AB103" s="283">
        <f t="shared" si="28"/>
        <v>0</v>
      </c>
      <c r="AC103" s="284">
        <f t="shared" si="28"/>
        <v>0</v>
      </c>
      <c r="AD103" s="285">
        <f t="shared" si="29"/>
        <v>0</v>
      </c>
      <c r="AE103" s="124"/>
      <c r="AF103" s="281"/>
      <c r="AG103" s="281"/>
      <c r="AH103" s="124"/>
      <c r="AI103" s="282">
        <f t="shared" si="30"/>
        <v>0</v>
      </c>
      <c r="AJ103" s="283">
        <f t="shared" si="31"/>
        <v>0</v>
      </c>
      <c r="AK103" s="283">
        <f t="shared" si="31"/>
        <v>0</v>
      </c>
      <c r="AL103" s="284">
        <f t="shared" si="31"/>
        <v>0</v>
      </c>
      <c r="AM103" s="285">
        <f t="shared" si="32"/>
        <v>0</v>
      </c>
      <c r="AN103" s="124"/>
      <c r="AO103" s="281"/>
      <c r="AP103" s="281"/>
      <c r="AQ103" s="124"/>
      <c r="AR103" s="282">
        <f t="shared" si="33"/>
        <v>0</v>
      </c>
      <c r="AS103" s="283">
        <f t="shared" si="34"/>
        <v>0</v>
      </c>
      <c r="AT103" s="283">
        <f t="shared" si="34"/>
        <v>0</v>
      </c>
      <c r="AU103" s="284">
        <f t="shared" si="34"/>
        <v>0</v>
      </c>
      <c r="AV103" s="285">
        <f t="shared" si="35"/>
        <v>0</v>
      </c>
    </row>
    <row r="104" spans="1:48">
      <c r="A104" s="31">
        <f t="shared" si="36"/>
        <v>89</v>
      </c>
      <c r="B104" s="38">
        <f>Metadata!C112</f>
        <v>6.6677649067668654E-2</v>
      </c>
      <c r="C104" s="38">
        <f>Metadata!G112</f>
        <v>0.31011512188233542</v>
      </c>
      <c r="D104" s="280"/>
      <c r="E104" s="281"/>
      <c r="F104" s="281"/>
      <c r="G104" s="124"/>
      <c r="H104" s="282">
        <f t="shared" si="20"/>
        <v>0</v>
      </c>
      <c r="I104" s="283">
        <f t="shared" si="21"/>
        <v>0</v>
      </c>
      <c r="J104" s="283">
        <f t="shared" si="22"/>
        <v>0</v>
      </c>
      <c r="K104" s="284">
        <f t="shared" si="22"/>
        <v>0</v>
      </c>
      <c r="L104" s="285">
        <f t="shared" si="23"/>
        <v>0</v>
      </c>
      <c r="M104" s="124"/>
      <c r="N104" s="281"/>
      <c r="O104" s="281"/>
      <c r="P104" s="124"/>
      <c r="Q104" s="282">
        <f t="shared" si="24"/>
        <v>0</v>
      </c>
      <c r="R104" s="283">
        <f t="shared" si="25"/>
        <v>0</v>
      </c>
      <c r="S104" s="283">
        <f t="shared" si="25"/>
        <v>0</v>
      </c>
      <c r="T104" s="284">
        <f t="shared" si="25"/>
        <v>0</v>
      </c>
      <c r="U104" s="285">
        <f t="shared" si="26"/>
        <v>0</v>
      </c>
      <c r="V104" s="124"/>
      <c r="W104" s="281"/>
      <c r="X104" s="281"/>
      <c r="Y104" s="124"/>
      <c r="Z104" s="282">
        <f t="shared" si="27"/>
        <v>0</v>
      </c>
      <c r="AA104" s="283">
        <f t="shared" si="28"/>
        <v>0</v>
      </c>
      <c r="AB104" s="283">
        <f t="shared" si="28"/>
        <v>0</v>
      </c>
      <c r="AC104" s="284">
        <f t="shared" si="28"/>
        <v>0</v>
      </c>
      <c r="AD104" s="285">
        <f t="shared" si="29"/>
        <v>0</v>
      </c>
      <c r="AE104" s="124"/>
      <c r="AF104" s="281"/>
      <c r="AG104" s="281"/>
      <c r="AH104" s="124"/>
      <c r="AI104" s="282">
        <f t="shared" si="30"/>
        <v>0</v>
      </c>
      <c r="AJ104" s="283">
        <f t="shared" si="31"/>
        <v>0</v>
      </c>
      <c r="AK104" s="283">
        <f t="shared" si="31"/>
        <v>0</v>
      </c>
      <c r="AL104" s="284">
        <f t="shared" si="31"/>
        <v>0</v>
      </c>
      <c r="AM104" s="285">
        <f t="shared" si="32"/>
        <v>0</v>
      </c>
      <c r="AN104" s="124"/>
      <c r="AO104" s="281"/>
      <c r="AP104" s="281"/>
      <c r="AQ104" s="124"/>
      <c r="AR104" s="282">
        <f t="shared" si="33"/>
        <v>0</v>
      </c>
      <c r="AS104" s="283">
        <f t="shared" si="34"/>
        <v>0</v>
      </c>
      <c r="AT104" s="283">
        <f t="shared" si="34"/>
        <v>0</v>
      </c>
      <c r="AU104" s="284">
        <f t="shared" si="34"/>
        <v>0</v>
      </c>
      <c r="AV104" s="285">
        <f t="shared" si="35"/>
        <v>0</v>
      </c>
    </row>
    <row r="105" spans="1:48">
      <c r="A105" s="31">
        <f t="shared" si="36"/>
        <v>90</v>
      </c>
      <c r="B105" s="38">
        <f>Metadata!C113</f>
        <v>6.5051364944066992E-2</v>
      </c>
      <c r="C105" s="38">
        <f>Metadata!G113</f>
        <v>0.30682898346937837</v>
      </c>
      <c r="D105" s="280"/>
      <c r="E105" s="281"/>
      <c r="F105" s="281"/>
      <c r="G105" s="124"/>
      <c r="H105" s="282">
        <f t="shared" si="20"/>
        <v>0</v>
      </c>
      <c r="I105" s="283">
        <f t="shared" si="21"/>
        <v>0</v>
      </c>
      <c r="J105" s="283">
        <f t="shared" si="22"/>
        <v>0</v>
      </c>
      <c r="K105" s="284">
        <f t="shared" si="22"/>
        <v>0</v>
      </c>
      <c r="L105" s="285">
        <f t="shared" si="23"/>
        <v>0</v>
      </c>
      <c r="M105" s="124"/>
      <c r="N105" s="281"/>
      <c r="O105" s="281"/>
      <c r="P105" s="124"/>
      <c r="Q105" s="282">
        <f t="shared" si="24"/>
        <v>0</v>
      </c>
      <c r="R105" s="283">
        <f t="shared" si="25"/>
        <v>0</v>
      </c>
      <c r="S105" s="283">
        <f t="shared" si="25"/>
        <v>0</v>
      </c>
      <c r="T105" s="284">
        <f t="shared" si="25"/>
        <v>0</v>
      </c>
      <c r="U105" s="285">
        <f t="shared" si="26"/>
        <v>0</v>
      </c>
      <c r="V105" s="124"/>
      <c r="W105" s="281"/>
      <c r="X105" s="281"/>
      <c r="Y105" s="124"/>
      <c r="Z105" s="282">
        <f t="shared" si="27"/>
        <v>0</v>
      </c>
      <c r="AA105" s="283">
        <f t="shared" si="28"/>
        <v>0</v>
      </c>
      <c r="AB105" s="283">
        <f t="shared" si="28"/>
        <v>0</v>
      </c>
      <c r="AC105" s="284">
        <f t="shared" si="28"/>
        <v>0</v>
      </c>
      <c r="AD105" s="285">
        <f t="shared" si="29"/>
        <v>0</v>
      </c>
      <c r="AE105" s="124"/>
      <c r="AF105" s="281"/>
      <c r="AG105" s="281"/>
      <c r="AH105" s="124"/>
      <c r="AI105" s="282">
        <f t="shared" si="30"/>
        <v>0</v>
      </c>
      <c r="AJ105" s="283">
        <f t="shared" si="31"/>
        <v>0</v>
      </c>
      <c r="AK105" s="283">
        <f t="shared" si="31"/>
        <v>0</v>
      </c>
      <c r="AL105" s="284">
        <f t="shared" si="31"/>
        <v>0</v>
      </c>
      <c r="AM105" s="285">
        <f t="shared" si="32"/>
        <v>0</v>
      </c>
      <c r="AN105" s="124"/>
      <c r="AO105" s="281"/>
      <c r="AP105" s="281"/>
      <c r="AQ105" s="124"/>
      <c r="AR105" s="282">
        <f t="shared" si="33"/>
        <v>0</v>
      </c>
      <c r="AS105" s="283">
        <f t="shared" si="34"/>
        <v>0</v>
      </c>
      <c r="AT105" s="283">
        <f t="shared" si="34"/>
        <v>0</v>
      </c>
      <c r="AU105" s="284">
        <f t="shared" si="34"/>
        <v>0</v>
      </c>
      <c r="AV105" s="285">
        <f t="shared" si="35"/>
        <v>0</v>
      </c>
    </row>
    <row r="106" spans="1:48">
      <c r="A106" s="31">
        <f t="shared" si="36"/>
        <v>91</v>
      </c>
      <c r="B106" s="38">
        <f>Metadata!C114</f>
        <v>6.3464746286894635E-2</v>
      </c>
      <c r="C106" s="38">
        <f>Metadata!G114</f>
        <v>0.30357766665945563</v>
      </c>
      <c r="D106" s="280"/>
      <c r="E106" s="281"/>
      <c r="F106" s="281"/>
      <c r="G106" s="124"/>
      <c r="H106" s="282">
        <f t="shared" si="20"/>
        <v>0</v>
      </c>
      <c r="I106" s="283">
        <f t="shared" si="21"/>
        <v>0</v>
      </c>
      <c r="J106" s="283">
        <f t="shared" si="22"/>
        <v>0</v>
      </c>
      <c r="K106" s="284">
        <f t="shared" si="22"/>
        <v>0</v>
      </c>
      <c r="L106" s="285">
        <f t="shared" si="23"/>
        <v>0</v>
      </c>
      <c r="M106" s="124"/>
      <c r="N106" s="281"/>
      <c r="O106" s="281"/>
      <c r="P106" s="124"/>
      <c r="Q106" s="282">
        <f t="shared" si="24"/>
        <v>0</v>
      </c>
      <c r="R106" s="283">
        <f t="shared" si="25"/>
        <v>0</v>
      </c>
      <c r="S106" s="283">
        <f t="shared" si="25"/>
        <v>0</v>
      </c>
      <c r="T106" s="284">
        <f t="shared" si="25"/>
        <v>0</v>
      </c>
      <c r="U106" s="285">
        <f t="shared" si="26"/>
        <v>0</v>
      </c>
      <c r="V106" s="124"/>
      <c r="W106" s="281"/>
      <c r="X106" s="281"/>
      <c r="Y106" s="124"/>
      <c r="Z106" s="282">
        <f t="shared" si="27"/>
        <v>0</v>
      </c>
      <c r="AA106" s="283">
        <f t="shared" si="28"/>
        <v>0</v>
      </c>
      <c r="AB106" s="283">
        <f t="shared" si="28"/>
        <v>0</v>
      </c>
      <c r="AC106" s="284">
        <f t="shared" si="28"/>
        <v>0</v>
      </c>
      <c r="AD106" s="285">
        <f t="shared" si="29"/>
        <v>0</v>
      </c>
      <c r="AE106" s="124"/>
      <c r="AF106" s="281"/>
      <c r="AG106" s="281"/>
      <c r="AH106" s="124"/>
      <c r="AI106" s="282">
        <f t="shared" si="30"/>
        <v>0</v>
      </c>
      <c r="AJ106" s="283">
        <f t="shared" si="31"/>
        <v>0</v>
      </c>
      <c r="AK106" s="283">
        <f t="shared" si="31"/>
        <v>0</v>
      </c>
      <c r="AL106" s="284">
        <f t="shared" si="31"/>
        <v>0</v>
      </c>
      <c r="AM106" s="285">
        <f t="shared" si="32"/>
        <v>0</v>
      </c>
      <c r="AN106" s="124"/>
      <c r="AO106" s="281"/>
      <c r="AP106" s="281"/>
      <c r="AQ106" s="124"/>
      <c r="AR106" s="282">
        <f t="shared" si="33"/>
        <v>0</v>
      </c>
      <c r="AS106" s="283">
        <f t="shared" si="34"/>
        <v>0</v>
      </c>
      <c r="AT106" s="283">
        <f t="shared" si="34"/>
        <v>0</v>
      </c>
      <c r="AU106" s="284">
        <f t="shared" si="34"/>
        <v>0</v>
      </c>
      <c r="AV106" s="285">
        <f t="shared" si="35"/>
        <v>0</v>
      </c>
    </row>
    <row r="107" spans="1:48">
      <c r="A107" s="31">
        <f t="shared" si="36"/>
        <v>92</v>
      </c>
      <c r="B107" s="38">
        <f>Metadata!C115</f>
        <v>6.1916825645750871E-2</v>
      </c>
      <c r="C107" s="38">
        <f>Metadata!G115</f>
        <v>0.30036080246505487</v>
      </c>
      <c r="D107" s="280"/>
      <c r="E107" s="281"/>
      <c r="F107" s="281"/>
      <c r="G107" s="124"/>
      <c r="H107" s="282">
        <f t="shared" si="20"/>
        <v>0</v>
      </c>
      <c r="I107" s="283">
        <f t="shared" si="21"/>
        <v>0</v>
      </c>
      <c r="J107" s="283">
        <f t="shared" si="22"/>
        <v>0</v>
      </c>
      <c r="K107" s="284">
        <f t="shared" si="22"/>
        <v>0</v>
      </c>
      <c r="L107" s="285">
        <f t="shared" si="23"/>
        <v>0</v>
      </c>
      <c r="M107" s="124"/>
      <c r="N107" s="281"/>
      <c r="O107" s="281"/>
      <c r="P107" s="124"/>
      <c r="Q107" s="282">
        <f t="shared" si="24"/>
        <v>0</v>
      </c>
      <c r="R107" s="283">
        <f t="shared" si="25"/>
        <v>0</v>
      </c>
      <c r="S107" s="283">
        <f t="shared" si="25"/>
        <v>0</v>
      </c>
      <c r="T107" s="284">
        <f t="shared" si="25"/>
        <v>0</v>
      </c>
      <c r="U107" s="285">
        <f t="shared" si="26"/>
        <v>0</v>
      </c>
      <c r="V107" s="124"/>
      <c r="W107" s="281"/>
      <c r="X107" s="281"/>
      <c r="Y107" s="124"/>
      <c r="Z107" s="282">
        <f t="shared" si="27"/>
        <v>0</v>
      </c>
      <c r="AA107" s="283">
        <f t="shared" si="28"/>
        <v>0</v>
      </c>
      <c r="AB107" s="283">
        <f t="shared" si="28"/>
        <v>0</v>
      </c>
      <c r="AC107" s="284">
        <f t="shared" si="28"/>
        <v>0</v>
      </c>
      <c r="AD107" s="285">
        <f t="shared" si="29"/>
        <v>0</v>
      </c>
      <c r="AE107" s="124"/>
      <c r="AF107" s="281"/>
      <c r="AG107" s="281"/>
      <c r="AH107" s="124"/>
      <c r="AI107" s="282">
        <f t="shared" si="30"/>
        <v>0</v>
      </c>
      <c r="AJ107" s="283">
        <f t="shared" si="31"/>
        <v>0</v>
      </c>
      <c r="AK107" s="283">
        <f t="shared" si="31"/>
        <v>0</v>
      </c>
      <c r="AL107" s="284">
        <f t="shared" si="31"/>
        <v>0</v>
      </c>
      <c r="AM107" s="285">
        <f t="shared" si="32"/>
        <v>0</v>
      </c>
      <c r="AN107" s="124"/>
      <c r="AO107" s="281"/>
      <c r="AP107" s="281"/>
      <c r="AQ107" s="124"/>
      <c r="AR107" s="282">
        <f t="shared" si="33"/>
        <v>0</v>
      </c>
      <c r="AS107" s="283">
        <f t="shared" si="34"/>
        <v>0</v>
      </c>
      <c r="AT107" s="283">
        <f t="shared" si="34"/>
        <v>0</v>
      </c>
      <c r="AU107" s="284">
        <f t="shared" si="34"/>
        <v>0</v>
      </c>
      <c r="AV107" s="285">
        <f t="shared" si="35"/>
        <v>0</v>
      </c>
    </row>
    <row r="108" spans="1:48">
      <c r="A108" s="31">
        <f t="shared" si="36"/>
        <v>93</v>
      </c>
      <c r="B108" s="38">
        <f>Metadata!C116</f>
        <v>6.0406659166586218E-2</v>
      </c>
      <c r="C108" s="38">
        <f>Metadata!G116</f>
        <v>0.29717802580864427</v>
      </c>
      <c r="D108" s="280"/>
      <c r="E108" s="281"/>
      <c r="F108" s="281"/>
      <c r="G108" s="124"/>
      <c r="H108" s="282">
        <f t="shared" si="20"/>
        <v>0</v>
      </c>
      <c r="I108" s="283">
        <f t="shared" si="21"/>
        <v>0</v>
      </c>
      <c r="J108" s="283">
        <f t="shared" si="22"/>
        <v>0</v>
      </c>
      <c r="K108" s="284">
        <f t="shared" si="22"/>
        <v>0</v>
      </c>
      <c r="L108" s="285">
        <f t="shared" si="23"/>
        <v>0</v>
      </c>
      <c r="M108" s="124"/>
      <c r="N108" s="281"/>
      <c r="O108" s="281"/>
      <c r="P108" s="124"/>
      <c r="Q108" s="282">
        <f t="shared" si="24"/>
        <v>0</v>
      </c>
      <c r="R108" s="283">
        <f t="shared" si="25"/>
        <v>0</v>
      </c>
      <c r="S108" s="283">
        <f t="shared" si="25"/>
        <v>0</v>
      </c>
      <c r="T108" s="284">
        <f t="shared" si="25"/>
        <v>0</v>
      </c>
      <c r="U108" s="285">
        <f t="shared" si="26"/>
        <v>0</v>
      </c>
      <c r="V108" s="124"/>
      <c r="W108" s="281"/>
      <c r="X108" s="281"/>
      <c r="Y108" s="124"/>
      <c r="Z108" s="282">
        <f t="shared" si="27"/>
        <v>0</v>
      </c>
      <c r="AA108" s="283">
        <f t="shared" si="28"/>
        <v>0</v>
      </c>
      <c r="AB108" s="283">
        <f t="shared" si="28"/>
        <v>0</v>
      </c>
      <c r="AC108" s="284">
        <f t="shared" si="28"/>
        <v>0</v>
      </c>
      <c r="AD108" s="285">
        <f t="shared" si="29"/>
        <v>0</v>
      </c>
      <c r="AE108" s="124"/>
      <c r="AF108" s="281"/>
      <c r="AG108" s="281"/>
      <c r="AH108" s="124"/>
      <c r="AI108" s="282">
        <f t="shared" si="30"/>
        <v>0</v>
      </c>
      <c r="AJ108" s="283">
        <f t="shared" si="31"/>
        <v>0</v>
      </c>
      <c r="AK108" s="283">
        <f t="shared" si="31"/>
        <v>0</v>
      </c>
      <c r="AL108" s="284">
        <f t="shared" si="31"/>
        <v>0</v>
      </c>
      <c r="AM108" s="285">
        <f t="shared" si="32"/>
        <v>0</v>
      </c>
      <c r="AN108" s="124"/>
      <c r="AO108" s="281"/>
      <c r="AP108" s="281"/>
      <c r="AQ108" s="124"/>
      <c r="AR108" s="282">
        <f t="shared" si="33"/>
        <v>0</v>
      </c>
      <c r="AS108" s="283">
        <f t="shared" si="34"/>
        <v>0</v>
      </c>
      <c r="AT108" s="283">
        <f t="shared" si="34"/>
        <v>0</v>
      </c>
      <c r="AU108" s="284">
        <f t="shared" si="34"/>
        <v>0</v>
      </c>
      <c r="AV108" s="285">
        <f t="shared" si="35"/>
        <v>0</v>
      </c>
    </row>
    <row r="109" spans="1:48">
      <c r="A109" s="31">
        <f t="shared" si="36"/>
        <v>94</v>
      </c>
      <c r="B109" s="38">
        <f>Metadata!C117</f>
        <v>5.8933326016181682E-2</v>
      </c>
      <c r="C109" s="38">
        <f>Metadata!G117</f>
        <v>0.29402897548124018</v>
      </c>
      <c r="D109" s="280"/>
      <c r="E109" s="281"/>
      <c r="F109" s="281"/>
      <c r="G109" s="124"/>
      <c r="H109" s="282">
        <f t="shared" si="20"/>
        <v>0</v>
      </c>
      <c r="I109" s="283">
        <f t="shared" si="21"/>
        <v>0</v>
      </c>
      <c r="J109" s="283">
        <f t="shared" si="22"/>
        <v>0</v>
      </c>
      <c r="K109" s="284">
        <f t="shared" si="22"/>
        <v>0</v>
      </c>
      <c r="L109" s="285">
        <f t="shared" si="23"/>
        <v>0</v>
      </c>
      <c r="M109" s="124"/>
      <c r="N109" s="281"/>
      <c r="O109" s="281"/>
      <c r="P109" s="124"/>
      <c r="Q109" s="282">
        <f t="shared" si="24"/>
        <v>0</v>
      </c>
      <c r="R109" s="283">
        <f t="shared" si="25"/>
        <v>0</v>
      </c>
      <c r="S109" s="283">
        <f t="shared" si="25"/>
        <v>0</v>
      </c>
      <c r="T109" s="284">
        <f t="shared" si="25"/>
        <v>0</v>
      </c>
      <c r="U109" s="285">
        <f t="shared" si="26"/>
        <v>0</v>
      </c>
      <c r="V109" s="124"/>
      <c r="W109" s="281"/>
      <c r="X109" s="281"/>
      <c r="Y109" s="124"/>
      <c r="Z109" s="282">
        <f t="shared" si="27"/>
        <v>0</v>
      </c>
      <c r="AA109" s="283">
        <f t="shared" si="28"/>
        <v>0</v>
      </c>
      <c r="AB109" s="283">
        <f t="shared" si="28"/>
        <v>0</v>
      </c>
      <c r="AC109" s="284">
        <f t="shared" si="28"/>
        <v>0</v>
      </c>
      <c r="AD109" s="285">
        <f t="shared" si="29"/>
        <v>0</v>
      </c>
      <c r="AE109" s="124"/>
      <c r="AF109" s="281"/>
      <c r="AG109" s="281"/>
      <c r="AH109" s="124"/>
      <c r="AI109" s="282">
        <f t="shared" si="30"/>
        <v>0</v>
      </c>
      <c r="AJ109" s="283">
        <f t="shared" si="31"/>
        <v>0</v>
      </c>
      <c r="AK109" s="283">
        <f t="shared" si="31"/>
        <v>0</v>
      </c>
      <c r="AL109" s="284">
        <f t="shared" si="31"/>
        <v>0</v>
      </c>
      <c r="AM109" s="285">
        <f t="shared" si="32"/>
        <v>0</v>
      </c>
      <c r="AN109" s="124"/>
      <c r="AO109" s="281"/>
      <c r="AP109" s="281"/>
      <c r="AQ109" s="124"/>
      <c r="AR109" s="282">
        <f t="shared" si="33"/>
        <v>0</v>
      </c>
      <c r="AS109" s="283">
        <f t="shared" si="34"/>
        <v>0</v>
      </c>
      <c r="AT109" s="283">
        <f t="shared" si="34"/>
        <v>0</v>
      </c>
      <c r="AU109" s="284">
        <f t="shared" si="34"/>
        <v>0</v>
      </c>
      <c r="AV109" s="285">
        <f t="shared" si="35"/>
        <v>0</v>
      </c>
    </row>
    <row r="110" spans="1:48">
      <c r="A110" s="31">
        <f t="shared" si="36"/>
        <v>95</v>
      </c>
      <c r="B110" s="38">
        <f>Metadata!C118</f>
        <v>5.7495927820665059E-2</v>
      </c>
      <c r="C110" s="38">
        <f>Metadata!G118</f>
        <v>0.29091329410141403</v>
      </c>
      <c r="D110" s="280"/>
      <c r="E110" s="281"/>
      <c r="F110" s="281"/>
      <c r="G110" s="124"/>
      <c r="H110" s="282">
        <f t="shared" si="20"/>
        <v>0</v>
      </c>
      <c r="I110" s="283">
        <f t="shared" si="21"/>
        <v>0</v>
      </c>
      <c r="J110" s="283">
        <f t="shared" si="22"/>
        <v>0</v>
      </c>
      <c r="K110" s="284">
        <f t="shared" si="22"/>
        <v>0</v>
      </c>
      <c r="L110" s="285">
        <f t="shared" si="23"/>
        <v>0</v>
      </c>
      <c r="M110" s="124"/>
      <c r="N110" s="281"/>
      <c r="O110" s="281"/>
      <c r="P110" s="124"/>
      <c r="Q110" s="282">
        <f t="shared" si="24"/>
        <v>0</v>
      </c>
      <c r="R110" s="283">
        <f t="shared" si="25"/>
        <v>0</v>
      </c>
      <c r="S110" s="283">
        <f t="shared" si="25"/>
        <v>0</v>
      </c>
      <c r="T110" s="284">
        <f t="shared" si="25"/>
        <v>0</v>
      </c>
      <c r="U110" s="285">
        <f t="shared" si="26"/>
        <v>0</v>
      </c>
      <c r="V110" s="124"/>
      <c r="W110" s="281"/>
      <c r="X110" s="281"/>
      <c r="Y110" s="124"/>
      <c r="Z110" s="282">
        <f t="shared" si="27"/>
        <v>0</v>
      </c>
      <c r="AA110" s="283">
        <f t="shared" si="28"/>
        <v>0</v>
      </c>
      <c r="AB110" s="283">
        <f t="shared" si="28"/>
        <v>0</v>
      </c>
      <c r="AC110" s="284">
        <f t="shared" si="28"/>
        <v>0</v>
      </c>
      <c r="AD110" s="285">
        <f t="shared" si="29"/>
        <v>0</v>
      </c>
      <c r="AE110" s="124"/>
      <c r="AF110" s="281"/>
      <c r="AG110" s="281"/>
      <c r="AH110" s="124"/>
      <c r="AI110" s="282">
        <f t="shared" si="30"/>
        <v>0</v>
      </c>
      <c r="AJ110" s="283">
        <f t="shared" si="31"/>
        <v>0</v>
      </c>
      <c r="AK110" s="283">
        <f t="shared" si="31"/>
        <v>0</v>
      </c>
      <c r="AL110" s="284">
        <f t="shared" si="31"/>
        <v>0</v>
      </c>
      <c r="AM110" s="285">
        <f t="shared" si="32"/>
        <v>0</v>
      </c>
      <c r="AN110" s="124"/>
      <c r="AO110" s="281"/>
      <c r="AP110" s="281"/>
      <c r="AQ110" s="124"/>
      <c r="AR110" s="282">
        <f t="shared" si="33"/>
        <v>0</v>
      </c>
      <c r="AS110" s="283">
        <f t="shared" si="34"/>
        <v>0</v>
      </c>
      <c r="AT110" s="283">
        <f t="shared" si="34"/>
        <v>0</v>
      </c>
      <c r="AU110" s="284">
        <f t="shared" si="34"/>
        <v>0</v>
      </c>
      <c r="AV110" s="285">
        <f t="shared" si="35"/>
        <v>0</v>
      </c>
    </row>
    <row r="111" spans="1:48">
      <c r="A111" s="31">
        <f t="shared" si="36"/>
        <v>96</v>
      </c>
      <c r="B111" s="38">
        <f>Metadata!C119</f>
        <v>5.6093588117722012E-2</v>
      </c>
      <c r="C111" s="38">
        <f>Metadata!G119</f>
        <v>0.28783062807473364</v>
      </c>
      <c r="D111" s="280"/>
      <c r="E111" s="281"/>
      <c r="F111" s="281"/>
      <c r="G111" s="124"/>
      <c r="H111" s="282">
        <f t="shared" ref="H111:H114" si="37">SUM(D111:G111)</f>
        <v>0</v>
      </c>
      <c r="I111" s="283">
        <f t="shared" si="21"/>
        <v>0</v>
      </c>
      <c r="J111" s="283">
        <f t="shared" si="22"/>
        <v>0</v>
      </c>
      <c r="K111" s="284">
        <f t="shared" si="22"/>
        <v>0</v>
      </c>
      <c r="L111" s="285">
        <f t="shared" si="23"/>
        <v>0</v>
      </c>
      <c r="M111" s="124"/>
      <c r="N111" s="281"/>
      <c r="O111" s="281"/>
      <c r="P111" s="124"/>
      <c r="Q111" s="282">
        <f t="shared" si="24"/>
        <v>0</v>
      </c>
      <c r="R111" s="283">
        <f t="shared" si="25"/>
        <v>0</v>
      </c>
      <c r="S111" s="283">
        <f t="shared" si="25"/>
        <v>0</v>
      </c>
      <c r="T111" s="284">
        <f t="shared" si="25"/>
        <v>0</v>
      </c>
      <c r="U111" s="285">
        <f t="shared" si="26"/>
        <v>0</v>
      </c>
      <c r="V111" s="124"/>
      <c r="W111" s="281"/>
      <c r="X111" s="281"/>
      <c r="Y111" s="124"/>
      <c r="Z111" s="282">
        <f t="shared" si="27"/>
        <v>0</v>
      </c>
      <c r="AA111" s="283">
        <f t="shared" si="28"/>
        <v>0</v>
      </c>
      <c r="AB111" s="283">
        <f t="shared" si="28"/>
        <v>0</v>
      </c>
      <c r="AC111" s="284">
        <f t="shared" si="28"/>
        <v>0</v>
      </c>
      <c r="AD111" s="285">
        <f t="shared" si="29"/>
        <v>0</v>
      </c>
      <c r="AE111" s="124"/>
      <c r="AF111" s="281"/>
      <c r="AG111" s="281"/>
      <c r="AH111" s="124"/>
      <c r="AI111" s="282">
        <f t="shared" si="30"/>
        <v>0</v>
      </c>
      <c r="AJ111" s="283">
        <f t="shared" si="31"/>
        <v>0</v>
      </c>
      <c r="AK111" s="283">
        <f t="shared" si="31"/>
        <v>0</v>
      </c>
      <c r="AL111" s="284">
        <f t="shared" si="31"/>
        <v>0</v>
      </c>
      <c r="AM111" s="285">
        <f t="shared" si="32"/>
        <v>0</v>
      </c>
      <c r="AN111" s="124"/>
      <c r="AO111" s="281"/>
      <c r="AP111" s="281"/>
      <c r="AQ111" s="124"/>
      <c r="AR111" s="282">
        <f t="shared" si="33"/>
        <v>0</v>
      </c>
      <c r="AS111" s="283">
        <f t="shared" si="34"/>
        <v>0</v>
      </c>
      <c r="AT111" s="283">
        <f t="shared" si="34"/>
        <v>0</v>
      </c>
      <c r="AU111" s="284">
        <f t="shared" si="34"/>
        <v>0</v>
      </c>
      <c r="AV111" s="285">
        <f t="shared" si="35"/>
        <v>0</v>
      </c>
    </row>
    <row r="112" spans="1:48">
      <c r="A112" s="31">
        <f t="shared" si="36"/>
        <v>97</v>
      </c>
      <c r="B112" s="38">
        <f>Metadata!C120</f>
        <v>5.4725451822167821E-2</v>
      </c>
      <c r="C112" s="38">
        <f>Metadata!G120</f>
        <v>0.2847806275536342</v>
      </c>
      <c r="D112" s="280"/>
      <c r="E112" s="281"/>
      <c r="F112" s="281"/>
      <c r="G112" s="124"/>
      <c r="H112" s="282">
        <f t="shared" si="37"/>
        <v>0</v>
      </c>
      <c r="I112" s="283">
        <f t="shared" si="21"/>
        <v>0</v>
      </c>
      <c r="J112" s="283">
        <f t="shared" si="22"/>
        <v>0</v>
      </c>
      <c r="K112" s="284">
        <f t="shared" si="22"/>
        <v>0</v>
      </c>
      <c r="L112" s="285">
        <f t="shared" si="23"/>
        <v>0</v>
      </c>
      <c r="M112" s="124"/>
      <c r="N112" s="281"/>
      <c r="O112" s="281"/>
      <c r="P112" s="124"/>
      <c r="Q112" s="282">
        <f t="shared" si="24"/>
        <v>0</v>
      </c>
      <c r="R112" s="283">
        <f t="shared" si="25"/>
        <v>0</v>
      </c>
      <c r="S112" s="283">
        <f t="shared" si="25"/>
        <v>0</v>
      </c>
      <c r="T112" s="284">
        <f t="shared" si="25"/>
        <v>0</v>
      </c>
      <c r="U112" s="285">
        <f t="shared" si="26"/>
        <v>0</v>
      </c>
      <c r="V112" s="124"/>
      <c r="W112" s="281"/>
      <c r="X112" s="281"/>
      <c r="Y112" s="124"/>
      <c r="Z112" s="282">
        <f t="shared" si="27"/>
        <v>0</v>
      </c>
      <c r="AA112" s="283">
        <f t="shared" si="28"/>
        <v>0</v>
      </c>
      <c r="AB112" s="283">
        <f t="shared" si="28"/>
        <v>0</v>
      </c>
      <c r="AC112" s="284">
        <f t="shared" si="28"/>
        <v>0</v>
      </c>
      <c r="AD112" s="285">
        <f t="shared" si="29"/>
        <v>0</v>
      </c>
      <c r="AE112" s="124"/>
      <c r="AF112" s="281"/>
      <c r="AG112" s="281"/>
      <c r="AH112" s="124"/>
      <c r="AI112" s="282">
        <f t="shared" si="30"/>
        <v>0</v>
      </c>
      <c r="AJ112" s="283">
        <f t="shared" si="31"/>
        <v>0</v>
      </c>
      <c r="AK112" s="283">
        <f t="shared" si="31"/>
        <v>0</v>
      </c>
      <c r="AL112" s="284">
        <f t="shared" si="31"/>
        <v>0</v>
      </c>
      <c r="AM112" s="285">
        <f t="shared" si="32"/>
        <v>0</v>
      </c>
      <c r="AN112" s="124"/>
      <c r="AO112" s="281"/>
      <c r="AP112" s="281"/>
      <c r="AQ112" s="124"/>
      <c r="AR112" s="282">
        <f t="shared" si="33"/>
        <v>0</v>
      </c>
      <c r="AS112" s="283">
        <f t="shared" si="34"/>
        <v>0</v>
      </c>
      <c r="AT112" s="283">
        <f t="shared" si="34"/>
        <v>0</v>
      </c>
      <c r="AU112" s="284">
        <f t="shared" si="34"/>
        <v>0</v>
      </c>
      <c r="AV112" s="285">
        <f t="shared" si="35"/>
        <v>0</v>
      </c>
    </row>
    <row r="113" spans="1:48">
      <c r="A113" s="31">
        <f t="shared" si="36"/>
        <v>98</v>
      </c>
      <c r="B113" s="38">
        <f>Metadata!C121</f>
        <v>5.3390684704553978E-2</v>
      </c>
      <c r="C113" s="38">
        <f>Metadata!G121</f>
        <v>0.28176294639771465</v>
      </c>
      <c r="D113" s="280"/>
      <c r="E113" s="281"/>
      <c r="F113" s="281"/>
      <c r="G113" s="124"/>
      <c r="H113" s="282">
        <f t="shared" si="37"/>
        <v>0</v>
      </c>
      <c r="I113" s="283">
        <f t="shared" si="21"/>
        <v>0</v>
      </c>
      <c r="J113" s="283">
        <f t="shared" si="22"/>
        <v>0</v>
      </c>
      <c r="K113" s="284">
        <f t="shared" si="22"/>
        <v>0</v>
      </c>
      <c r="L113" s="285">
        <f t="shared" si="23"/>
        <v>0</v>
      </c>
      <c r="M113" s="124"/>
      <c r="N113" s="281"/>
      <c r="O113" s="281"/>
      <c r="P113" s="124"/>
      <c r="Q113" s="282">
        <f t="shared" si="24"/>
        <v>0</v>
      </c>
      <c r="R113" s="283">
        <f t="shared" si="25"/>
        <v>0</v>
      </c>
      <c r="S113" s="283">
        <f t="shared" si="25"/>
        <v>0</v>
      </c>
      <c r="T113" s="284">
        <f t="shared" si="25"/>
        <v>0</v>
      </c>
      <c r="U113" s="285">
        <f t="shared" si="26"/>
        <v>0</v>
      </c>
      <c r="V113" s="124"/>
      <c r="W113" s="281"/>
      <c r="X113" s="281"/>
      <c r="Y113" s="124"/>
      <c r="Z113" s="282">
        <f t="shared" si="27"/>
        <v>0</v>
      </c>
      <c r="AA113" s="283">
        <f t="shared" si="28"/>
        <v>0</v>
      </c>
      <c r="AB113" s="283">
        <f t="shared" si="28"/>
        <v>0</v>
      </c>
      <c r="AC113" s="284">
        <f t="shared" si="28"/>
        <v>0</v>
      </c>
      <c r="AD113" s="285">
        <f t="shared" si="29"/>
        <v>0</v>
      </c>
      <c r="AE113" s="124"/>
      <c r="AF113" s="281"/>
      <c r="AG113" s="281"/>
      <c r="AH113" s="124"/>
      <c r="AI113" s="282">
        <f t="shared" si="30"/>
        <v>0</v>
      </c>
      <c r="AJ113" s="283">
        <f t="shared" si="31"/>
        <v>0</v>
      </c>
      <c r="AK113" s="283">
        <f t="shared" si="31"/>
        <v>0</v>
      </c>
      <c r="AL113" s="284">
        <f t="shared" si="31"/>
        <v>0</v>
      </c>
      <c r="AM113" s="285">
        <f t="shared" si="32"/>
        <v>0</v>
      </c>
      <c r="AN113" s="124"/>
      <c r="AO113" s="281"/>
      <c r="AP113" s="281"/>
      <c r="AQ113" s="124"/>
      <c r="AR113" s="282">
        <f t="shared" si="33"/>
        <v>0</v>
      </c>
      <c r="AS113" s="283">
        <f t="shared" si="34"/>
        <v>0</v>
      </c>
      <c r="AT113" s="283">
        <f t="shared" si="34"/>
        <v>0</v>
      </c>
      <c r="AU113" s="284">
        <f t="shared" si="34"/>
        <v>0</v>
      </c>
      <c r="AV113" s="285">
        <f t="shared" si="35"/>
        <v>0</v>
      </c>
    </row>
    <row r="114" spans="1:48" ht="13.5" thickBot="1">
      <c r="A114" s="31">
        <f t="shared" si="36"/>
        <v>99</v>
      </c>
      <c r="B114" s="38">
        <f>Metadata!C122</f>
        <v>5.2088472882491688E-2</v>
      </c>
      <c r="C114" s="38">
        <f>Metadata!G122</f>
        <v>0.27877724213445465</v>
      </c>
      <c r="D114" s="280"/>
      <c r="E114" s="281"/>
      <c r="F114" s="281"/>
      <c r="G114" s="124"/>
      <c r="H114" s="286">
        <f t="shared" si="37"/>
        <v>0</v>
      </c>
      <c r="I114" s="287">
        <f t="shared" si="21"/>
        <v>0</v>
      </c>
      <c r="J114" s="287">
        <f t="shared" si="22"/>
        <v>0</v>
      </c>
      <c r="K114" s="288">
        <f t="shared" si="22"/>
        <v>0</v>
      </c>
      <c r="L114" s="289">
        <f t="shared" si="23"/>
        <v>0</v>
      </c>
      <c r="M114" s="124"/>
      <c r="N114" s="281"/>
      <c r="O114" s="281"/>
      <c r="P114" s="124"/>
      <c r="Q114" s="286">
        <f t="shared" si="24"/>
        <v>0</v>
      </c>
      <c r="R114" s="287">
        <f t="shared" si="25"/>
        <v>0</v>
      </c>
      <c r="S114" s="287">
        <f t="shared" si="25"/>
        <v>0</v>
      </c>
      <c r="T114" s="288">
        <f t="shared" si="25"/>
        <v>0</v>
      </c>
      <c r="U114" s="289">
        <f t="shared" si="26"/>
        <v>0</v>
      </c>
      <c r="V114" s="124"/>
      <c r="W114" s="281"/>
      <c r="X114" s="281"/>
      <c r="Y114" s="124"/>
      <c r="Z114" s="286">
        <f t="shared" si="27"/>
        <v>0</v>
      </c>
      <c r="AA114" s="287">
        <f t="shared" si="28"/>
        <v>0</v>
      </c>
      <c r="AB114" s="287">
        <f t="shared" si="28"/>
        <v>0</v>
      </c>
      <c r="AC114" s="288">
        <f t="shared" si="28"/>
        <v>0</v>
      </c>
      <c r="AD114" s="289">
        <f t="shared" si="29"/>
        <v>0</v>
      </c>
      <c r="AE114" s="124"/>
      <c r="AF114" s="281"/>
      <c r="AG114" s="281"/>
      <c r="AH114" s="124"/>
      <c r="AI114" s="286">
        <f t="shared" si="30"/>
        <v>0</v>
      </c>
      <c r="AJ114" s="287">
        <f t="shared" si="31"/>
        <v>0</v>
      </c>
      <c r="AK114" s="287">
        <f t="shared" si="31"/>
        <v>0</v>
      </c>
      <c r="AL114" s="288">
        <f t="shared" si="31"/>
        <v>0</v>
      </c>
      <c r="AM114" s="289">
        <f t="shared" si="32"/>
        <v>0</v>
      </c>
      <c r="AN114" s="124"/>
      <c r="AO114" s="281"/>
      <c r="AP114" s="281"/>
      <c r="AQ114" s="124"/>
      <c r="AR114" s="286">
        <f t="shared" si="33"/>
        <v>0</v>
      </c>
      <c r="AS114" s="287">
        <f t="shared" si="34"/>
        <v>0</v>
      </c>
      <c r="AT114" s="287">
        <f t="shared" si="34"/>
        <v>0</v>
      </c>
      <c r="AU114" s="288">
        <f t="shared" si="34"/>
        <v>0</v>
      </c>
      <c r="AV114" s="289">
        <f t="shared" si="35"/>
        <v>0</v>
      </c>
    </row>
    <row r="115" spans="1:48">
      <c r="A115" s="6"/>
      <c r="B115" s="2"/>
      <c r="C115" s="2"/>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0"/>
      <c r="AA115" s="290"/>
      <c r="AB115" s="290"/>
      <c r="AC115" s="290"/>
      <c r="AD115" s="290"/>
      <c r="AE115" s="290"/>
      <c r="AF115" s="290"/>
      <c r="AG115" s="290"/>
      <c r="AH115" s="290"/>
      <c r="AI115" s="290"/>
      <c r="AJ115" s="290"/>
      <c r="AK115" s="290"/>
      <c r="AL115" s="290"/>
      <c r="AM115" s="290"/>
      <c r="AN115" s="290"/>
      <c r="AO115" s="290"/>
      <c r="AP115" s="290"/>
      <c r="AQ115" s="290"/>
      <c r="AR115" s="290"/>
      <c r="AS115" s="290"/>
      <c r="AT115" s="290"/>
      <c r="AU115" s="290"/>
      <c r="AV115" s="291"/>
    </row>
    <row r="116" spans="1:48" ht="13.5" thickBot="1">
      <c r="A116" s="4"/>
      <c r="B116" s="5"/>
      <c r="C116" s="5"/>
      <c r="D116" s="248"/>
      <c r="E116" s="248"/>
      <c r="F116" s="248"/>
      <c r="G116" s="248"/>
      <c r="H116" s="248"/>
      <c r="I116" s="248"/>
      <c r="J116" s="248"/>
      <c r="K116" s="248"/>
      <c r="L116" s="248"/>
      <c r="M116" s="248"/>
      <c r="N116" s="248"/>
      <c r="O116" s="248"/>
      <c r="P116" s="248"/>
      <c r="Q116" s="248"/>
      <c r="R116" s="248"/>
      <c r="S116" s="248"/>
      <c r="T116" s="248"/>
      <c r="U116" s="248"/>
      <c r="V116" s="248"/>
      <c r="W116" s="248"/>
      <c r="X116" s="248"/>
      <c r="Y116" s="248"/>
      <c r="Z116" s="248"/>
      <c r="AA116" s="248"/>
      <c r="AB116" s="248"/>
      <c r="AC116" s="248"/>
      <c r="AD116" s="248"/>
      <c r="AE116" s="248"/>
      <c r="AF116" s="248"/>
      <c r="AG116" s="248"/>
      <c r="AH116" s="248"/>
      <c r="AI116" s="248"/>
      <c r="AJ116" s="248"/>
      <c r="AK116" s="248"/>
      <c r="AL116" s="248"/>
      <c r="AM116" s="248"/>
      <c r="AN116" s="248"/>
      <c r="AO116" s="248"/>
      <c r="AP116" s="248"/>
      <c r="AQ116" s="248"/>
      <c r="AR116" s="248"/>
      <c r="AS116" s="248"/>
      <c r="AT116" s="248"/>
      <c r="AU116" s="248"/>
      <c r="AV116" s="272"/>
    </row>
  </sheetData>
  <pageMargins left="0.75" right="0.75" top="1" bottom="1" header="0.5" footer="0.5"/>
  <pageSetup paperSize="9" scale="54" fitToHeight="2" orientation="landscape" r:id="rId1"/>
  <headerFooter alignWithMargins="0">
    <oddHeader>&amp;LFCDPAG3&amp;C&amp;A</oddHeader>
  </headerFooter>
  <rowBreaks count="1" manualBreakCount="1">
    <brk id="64" max="21"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943C-B023-4CDB-9E9E-72CBE3BCFCD9}">
  <dimension ref="A1:W224"/>
  <sheetViews>
    <sheetView zoomScaleNormal="100" workbookViewId="0">
      <selection activeCell="D22" sqref="D22"/>
    </sheetView>
  </sheetViews>
  <sheetFormatPr defaultRowHeight="12.75"/>
  <cols>
    <col min="1" max="1" width="9.140625" style="355"/>
    <col min="2" max="2" width="12.5703125" style="355" customWidth="1"/>
    <col min="3" max="3" width="16.42578125" style="355" customWidth="1"/>
    <col min="4" max="5" width="13.7109375" style="355" customWidth="1"/>
    <col min="6" max="6" width="12.85546875" style="355" customWidth="1"/>
    <col min="7" max="7" width="14.5703125" style="355" bestFit="1" customWidth="1"/>
    <col min="8" max="8" width="12.85546875" style="355" customWidth="1"/>
    <col min="9" max="23" width="9.140625" style="355"/>
  </cols>
  <sheetData>
    <row r="1" spans="1:15" ht="18">
      <c r="A1" s="351"/>
      <c r="B1" s="351"/>
      <c r="C1" s="351"/>
      <c r="D1" s="351"/>
      <c r="E1" s="351"/>
      <c r="F1" s="352" t="s">
        <v>210</v>
      </c>
      <c r="G1" s="353"/>
      <c r="H1" s="353"/>
      <c r="I1" s="354" t="s">
        <v>92</v>
      </c>
      <c r="J1" s="68"/>
      <c r="K1" s="354"/>
      <c r="L1" s="353"/>
      <c r="M1" s="353"/>
      <c r="O1" s="356"/>
    </row>
    <row r="2" spans="1:15" ht="18.75">
      <c r="A2" s="357" t="s">
        <v>211</v>
      </c>
      <c r="B2" s="351"/>
      <c r="C2" s="351"/>
      <c r="D2" s="351"/>
      <c r="E2" s="351"/>
    </row>
    <row r="3" spans="1:15">
      <c r="A3" s="351"/>
      <c r="B3" s="351"/>
      <c r="C3" s="351"/>
      <c r="D3" s="351"/>
      <c r="E3" s="351"/>
    </row>
    <row r="4" spans="1:15">
      <c r="A4" s="351"/>
      <c r="B4" s="351"/>
      <c r="C4" s="351"/>
      <c r="D4" s="351"/>
      <c r="E4" s="351"/>
    </row>
    <row r="6" spans="1:15">
      <c r="I6" s="358" t="s">
        <v>212</v>
      </c>
      <c r="M6" s="358"/>
    </row>
    <row r="7" spans="1:15">
      <c r="I7" s="358" t="s">
        <v>213</v>
      </c>
      <c r="M7" s="358"/>
    </row>
    <row r="8" spans="1:15">
      <c r="I8" s="408" t="s">
        <v>214</v>
      </c>
      <c r="J8" s="409"/>
      <c r="K8" s="409"/>
      <c r="L8" s="409"/>
      <c r="M8" s="409"/>
    </row>
    <row r="9" spans="1:15">
      <c r="I9" s="409"/>
      <c r="J9" s="409"/>
      <c r="K9" s="409"/>
      <c r="L9" s="409"/>
      <c r="M9" s="409"/>
    </row>
    <row r="10" spans="1:15">
      <c r="I10" s="409"/>
      <c r="J10" s="409"/>
      <c r="K10" s="409"/>
      <c r="L10" s="409"/>
      <c r="M10" s="409"/>
    </row>
    <row r="21" spans="1:8">
      <c r="B21" s="359" t="s">
        <v>117</v>
      </c>
      <c r="C21" s="359"/>
      <c r="D21" s="359"/>
      <c r="E21" s="359"/>
      <c r="F21" s="359" t="s">
        <v>118</v>
      </c>
      <c r="G21" s="359"/>
      <c r="H21" s="359"/>
    </row>
    <row r="22" spans="1:8">
      <c r="A22" s="359" t="s">
        <v>138</v>
      </c>
      <c r="B22" s="359" t="s">
        <v>215</v>
      </c>
      <c r="C22" s="359" t="s">
        <v>149</v>
      </c>
      <c r="D22" s="359" t="s">
        <v>216</v>
      </c>
      <c r="E22" s="359"/>
      <c r="F22" s="359" t="s">
        <v>215</v>
      </c>
      <c r="G22" s="359" t="s">
        <v>149</v>
      </c>
      <c r="H22" s="359" t="s">
        <v>216</v>
      </c>
    </row>
    <row r="23" spans="1:8">
      <c r="A23" s="355">
        <v>0</v>
      </c>
      <c r="B23" s="360">
        <v>3.5000000000000003E-2</v>
      </c>
      <c r="C23" s="361">
        <f>1/(1+B23)^A23</f>
        <v>1</v>
      </c>
      <c r="D23" s="361">
        <f>C23</f>
        <v>1</v>
      </c>
      <c r="E23" s="361"/>
      <c r="F23" s="362">
        <v>1.4999999999999999E-2</v>
      </c>
      <c r="G23" s="361">
        <f>1/(1+F23)^E23</f>
        <v>1</v>
      </c>
      <c r="H23" s="361">
        <f>G23</f>
        <v>1</v>
      </c>
    </row>
    <row r="24" spans="1:8">
      <c r="A24" s="355">
        <v>1</v>
      </c>
      <c r="B24" s="360">
        <v>3.5000000000000003E-2</v>
      </c>
      <c r="C24" s="363">
        <f>C23/(1+B24)</f>
        <v>0.96618357487922713</v>
      </c>
      <c r="D24" s="361">
        <f>D23+C24</f>
        <v>1.9661835748792271</v>
      </c>
      <c r="E24" s="361"/>
      <c r="F24" s="362">
        <v>1.4999999999999999E-2</v>
      </c>
      <c r="G24" s="363">
        <f>G23/(1+F24)</f>
        <v>0.98522167487684742</v>
      </c>
      <c r="H24" s="361">
        <f>H23+G24</f>
        <v>1.9852216748768474</v>
      </c>
    </row>
    <row r="25" spans="1:8">
      <c r="A25" s="355">
        <v>2</v>
      </c>
      <c r="B25" s="360">
        <v>3.5000000000000003E-2</v>
      </c>
      <c r="C25" s="363">
        <f t="shared" ref="C25:C88" si="0">C24/(1+B25)</f>
        <v>0.93351070036640305</v>
      </c>
      <c r="D25" s="361">
        <f t="shared" ref="D25:D88" si="1">D24+C25</f>
        <v>2.8996942752456301</v>
      </c>
      <c r="E25" s="361"/>
      <c r="F25" s="362">
        <v>1.4999999999999999E-2</v>
      </c>
      <c r="G25" s="363">
        <f t="shared" ref="G25:G88" si="2">G24/(1+F25)</f>
        <v>0.97066174864714039</v>
      </c>
      <c r="H25" s="361">
        <f t="shared" ref="H25:H88" si="3">H24+G25</f>
        <v>2.9558834235239879</v>
      </c>
    </row>
    <row r="26" spans="1:8">
      <c r="A26" s="355">
        <v>3</v>
      </c>
      <c r="B26" s="360">
        <v>3.5000000000000003E-2</v>
      </c>
      <c r="C26" s="363">
        <f t="shared" si="0"/>
        <v>0.90194270566802237</v>
      </c>
      <c r="D26" s="361">
        <f t="shared" si="1"/>
        <v>3.8016369809136523</v>
      </c>
      <c r="E26" s="361"/>
      <c r="F26" s="362">
        <v>1.4999999999999999E-2</v>
      </c>
      <c r="G26" s="363">
        <f t="shared" si="2"/>
        <v>0.95631699374102508</v>
      </c>
      <c r="H26" s="361">
        <f t="shared" si="3"/>
        <v>3.9122004172650131</v>
      </c>
    </row>
    <row r="27" spans="1:8">
      <c r="A27" s="355">
        <v>4</v>
      </c>
      <c r="B27" s="360">
        <v>3.5000000000000003E-2</v>
      </c>
      <c r="C27" s="363">
        <f t="shared" si="0"/>
        <v>0.87144222769857238</v>
      </c>
      <c r="D27" s="361">
        <f t="shared" si="1"/>
        <v>4.6730792086122248</v>
      </c>
      <c r="E27" s="361"/>
      <c r="F27" s="362">
        <v>1.4999999999999999E-2</v>
      </c>
      <c r="G27" s="363">
        <f t="shared" si="2"/>
        <v>0.94218423028672427</v>
      </c>
      <c r="H27" s="361">
        <f t="shared" si="3"/>
        <v>4.8543846475517372</v>
      </c>
    </row>
    <row r="28" spans="1:8">
      <c r="A28" s="355">
        <v>5</v>
      </c>
      <c r="B28" s="360">
        <v>3.5000000000000003E-2</v>
      </c>
      <c r="C28" s="363">
        <f t="shared" si="0"/>
        <v>0.84197316685852408</v>
      </c>
      <c r="D28" s="361">
        <f t="shared" si="1"/>
        <v>5.5150523754707486</v>
      </c>
      <c r="E28" s="361"/>
      <c r="F28" s="362">
        <v>1.4999999999999999E-2</v>
      </c>
      <c r="G28" s="363">
        <f t="shared" si="2"/>
        <v>0.92826032540563974</v>
      </c>
      <c r="H28" s="361">
        <f t="shared" si="3"/>
        <v>5.7826449729573772</v>
      </c>
    </row>
    <row r="29" spans="1:8">
      <c r="A29" s="355">
        <v>6</v>
      </c>
      <c r="B29" s="360">
        <v>3.5000000000000003E-2</v>
      </c>
      <c r="C29" s="363">
        <f t="shared" si="0"/>
        <v>0.81350064430775282</v>
      </c>
      <c r="D29" s="361">
        <f t="shared" si="1"/>
        <v>6.3285530197785018</v>
      </c>
      <c r="E29" s="361"/>
      <c r="F29" s="362">
        <v>1.4999999999999999E-2</v>
      </c>
      <c r="G29" s="363">
        <f t="shared" si="2"/>
        <v>0.91454219251787172</v>
      </c>
      <c r="H29" s="361">
        <f t="shared" si="3"/>
        <v>6.6971871654752491</v>
      </c>
    </row>
    <row r="30" spans="1:8">
      <c r="A30" s="355">
        <v>7</v>
      </c>
      <c r="B30" s="360">
        <v>3.5000000000000003E-2</v>
      </c>
      <c r="C30" s="363">
        <f t="shared" si="0"/>
        <v>0.78599096068381924</v>
      </c>
      <c r="D30" s="361">
        <f t="shared" si="1"/>
        <v>7.1145439804623214</v>
      </c>
      <c r="E30" s="361"/>
      <c r="F30" s="362">
        <v>1.4999999999999999E-2</v>
      </c>
      <c r="G30" s="363">
        <f t="shared" si="2"/>
        <v>0.90102679065800173</v>
      </c>
      <c r="H30" s="361">
        <f t="shared" si="3"/>
        <v>7.5982139561332511</v>
      </c>
    </row>
    <row r="31" spans="1:8">
      <c r="A31" s="355">
        <v>8</v>
      </c>
      <c r="B31" s="360">
        <v>3.5000000000000003E-2</v>
      </c>
      <c r="C31" s="363">
        <f t="shared" si="0"/>
        <v>0.75941155621625056</v>
      </c>
      <c r="D31" s="361">
        <f t="shared" si="1"/>
        <v>7.8739555366785723</v>
      </c>
      <c r="E31" s="361"/>
      <c r="F31" s="362">
        <v>1.4999999999999999E-2</v>
      </c>
      <c r="G31" s="363">
        <f t="shared" si="2"/>
        <v>0.88771112380098705</v>
      </c>
      <c r="H31" s="361">
        <f t="shared" si="3"/>
        <v>8.4859250799342387</v>
      </c>
    </row>
    <row r="32" spans="1:8">
      <c r="A32" s="355">
        <v>9</v>
      </c>
      <c r="B32" s="360">
        <v>3.5000000000000003E-2</v>
      </c>
      <c r="C32" s="363">
        <f t="shared" si="0"/>
        <v>0.73373097218961414</v>
      </c>
      <c r="D32" s="361">
        <f t="shared" si="1"/>
        <v>8.607686508868186</v>
      </c>
      <c r="E32" s="361"/>
      <c r="F32" s="362">
        <v>1.4999999999999999E-2</v>
      </c>
      <c r="G32" s="363">
        <f t="shared" si="2"/>
        <v>0.87459224019801685</v>
      </c>
      <c r="H32" s="361">
        <f t="shared" si="3"/>
        <v>9.3605173201322565</v>
      </c>
    </row>
    <row r="33" spans="1:8">
      <c r="A33" s="355">
        <v>10</v>
      </c>
      <c r="B33" s="360">
        <v>3.5000000000000003E-2</v>
      </c>
      <c r="C33" s="363">
        <f t="shared" si="0"/>
        <v>0.70891881370977217</v>
      </c>
      <c r="D33" s="361">
        <f t="shared" si="1"/>
        <v>9.3166053225779581</v>
      </c>
      <c r="E33" s="361"/>
      <c r="F33" s="362">
        <v>1.4999999999999999E-2</v>
      </c>
      <c r="G33" s="363">
        <f t="shared" si="2"/>
        <v>0.86166723172218418</v>
      </c>
      <c r="H33" s="361">
        <f t="shared" si="3"/>
        <v>10.22218455185444</v>
      </c>
    </row>
    <row r="34" spans="1:8">
      <c r="A34" s="355">
        <v>11</v>
      </c>
      <c r="B34" s="360">
        <v>3.5000000000000003E-2</v>
      </c>
      <c r="C34" s="363">
        <f t="shared" si="0"/>
        <v>0.68494571372924851</v>
      </c>
      <c r="D34" s="361">
        <f t="shared" si="1"/>
        <v>10.001551036307207</v>
      </c>
      <c r="E34" s="361"/>
      <c r="F34" s="362">
        <v>1.4999999999999999E-2</v>
      </c>
      <c r="G34" s="363">
        <f t="shared" si="2"/>
        <v>0.84893323322382686</v>
      </c>
      <c r="H34" s="361">
        <f t="shared" si="3"/>
        <v>11.071117785078266</v>
      </c>
    </row>
    <row r="35" spans="1:8">
      <c r="A35" s="355">
        <v>12</v>
      </c>
      <c r="B35" s="360">
        <v>3.5000000000000003E-2</v>
      </c>
      <c r="C35" s="363">
        <f t="shared" si="0"/>
        <v>0.66178329828912907</v>
      </c>
      <c r="D35" s="361">
        <f t="shared" si="1"/>
        <v>10.663334334596335</v>
      </c>
      <c r="E35" s="361"/>
      <c r="F35" s="362">
        <v>1.4999999999999999E-2</v>
      </c>
      <c r="G35" s="363">
        <f t="shared" si="2"/>
        <v>0.83638742189539594</v>
      </c>
      <c r="H35" s="361">
        <f t="shared" si="3"/>
        <v>11.907505206973662</v>
      </c>
    </row>
    <row r="36" spans="1:8">
      <c r="A36" s="355">
        <v>13</v>
      </c>
      <c r="B36" s="360">
        <v>3.5000000000000003E-2</v>
      </c>
      <c r="C36" s="363">
        <f t="shared" si="0"/>
        <v>0.63940415293635666</v>
      </c>
      <c r="D36" s="361">
        <f t="shared" si="1"/>
        <v>11.302738487532691</v>
      </c>
      <c r="E36" s="361"/>
      <c r="F36" s="362">
        <v>1.4999999999999999E-2</v>
      </c>
      <c r="G36" s="363">
        <f t="shared" si="2"/>
        <v>0.82402701664571032</v>
      </c>
      <c r="H36" s="361">
        <f t="shared" si="3"/>
        <v>12.731532223619372</v>
      </c>
    </row>
    <row r="37" spans="1:8">
      <c r="A37" s="355">
        <v>14</v>
      </c>
      <c r="B37" s="360">
        <v>3.5000000000000003E-2</v>
      </c>
      <c r="C37" s="363">
        <f t="shared" si="0"/>
        <v>0.61778179027667313</v>
      </c>
      <c r="D37" s="361">
        <f t="shared" si="1"/>
        <v>11.920520277809365</v>
      </c>
      <c r="E37" s="361"/>
      <c r="F37" s="362">
        <v>1.4999999999999999E-2</v>
      </c>
      <c r="G37" s="363">
        <f t="shared" si="2"/>
        <v>0.81184927748345848</v>
      </c>
      <c r="H37" s="361">
        <f t="shared" si="3"/>
        <v>13.54338150110283</v>
      </c>
    </row>
    <row r="38" spans="1:8">
      <c r="A38" s="355">
        <v>15</v>
      </c>
      <c r="B38" s="360">
        <v>3.5000000000000003E-2</v>
      </c>
      <c r="C38" s="363">
        <f t="shared" si="0"/>
        <v>0.59689061862480497</v>
      </c>
      <c r="D38" s="361">
        <f t="shared" si="1"/>
        <v>12.517410896434169</v>
      </c>
      <c r="E38" s="361"/>
      <c r="F38" s="362">
        <v>1.4999999999999999E-2</v>
      </c>
      <c r="G38" s="363">
        <f t="shared" si="2"/>
        <v>0.79985150490981138</v>
      </c>
      <c r="H38" s="361">
        <f t="shared" si="3"/>
        <v>14.343233006012643</v>
      </c>
    </row>
    <row r="39" spans="1:8">
      <c r="A39" s="355">
        <v>16</v>
      </c>
      <c r="B39" s="360">
        <v>3.5000000000000003E-2</v>
      </c>
      <c r="C39" s="363">
        <f t="shared" si="0"/>
        <v>0.57670591171478747</v>
      </c>
      <c r="D39" s="361">
        <f t="shared" si="1"/>
        <v>13.094116808148957</v>
      </c>
      <c r="E39" s="361"/>
      <c r="F39" s="362">
        <v>1.4999999999999999E-2</v>
      </c>
      <c r="G39" s="363">
        <f t="shared" si="2"/>
        <v>0.78803103932001128</v>
      </c>
      <c r="H39" s="361">
        <f t="shared" si="3"/>
        <v>15.131264045332653</v>
      </c>
    </row>
    <row r="40" spans="1:8">
      <c r="A40" s="355">
        <v>17</v>
      </c>
      <c r="B40" s="360">
        <v>3.5000000000000003E-2</v>
      </c>
      <c r="C40" s="363">
        <f t="shared" si="0"/>
        <v>0.55720377943457733</v>
      </c>
      <c r="D40" s="361">
        <f t="shared" si="1"/>
        <v>13.651320587583534</v>
      </c>
      <c r="E40" s="361"/>
      <c r="F40" s="362">
        <v>1.4999999999999999E-2</v>
      </c>
      <c r="G40" s="363">
        <f t="shared" si="2"/>
        <v>0.77638526041380429</v>
      </c>
      <c r="H40" s="361">
        <f t="shared" si="3"/>
        <v>15.907649305746457</v>
      </c>
    </row>
    <row r="41" spans="1:8">
      <c r="A41" s="355">
        <v>18</v>
      </c>
      <c r="B41" s="360">
        <v>3.5000000000000003E-2</v>
      </c>
      <c r="C41" s="363">
        <f t="shared" si="0"/>
        <v>0.53836113955031628</v>
      </c>
      <c r="D41" s="361">
        <f t="shared" si="1"/>
        <v>14.18968172713385</v>
      </c>
      <c r="E41" s="361"/>
      <c r="F41" s="362">
        <v>1.4999999999999999E-2</v>
      </c>
      <c r="G41" s="363">
        <f t="shared" si="2"/>
        <v>0.76491158661458558</v>
      </c>
      <c r="H41" s="361">
        <f t="shared" si="3"/>
        <v>16.672560892361041</v>
      </c>
    </row>
    <row r="42" spans="1:8">
      <c r="A42" s="355">
        <v>19</v>
      </c>
      <c r="B42" s="360">
        <v>3.5000000000000003E-2</v>
      </c>
      <c r="C42" s="363">
        <f t="shared" si="0"/>
        <v>0.520155690386779</v>
      </c>
      <c r="D42" s="361">
        <f t="shared" si="1"/>
        <v>14.70983741752063</v>
      </c>
      <c r="E42" s="361"/>
      <c r="F42" s="362">
        <v>1.4999999999999999E-2</v>
      </c>
      <c r="G42" s="363">
        <f t="shared" si="2"/>
        <v>0.75360747449712873</v>
      </c>
      <c r="H42" s="361">
        <f t="shared" si="3"/>
        <v>17.426168366858171</v>
      </c>
    </row>
    <row r="43" spans="1:8">
      <c r="A43" s="355">
        <v>20</v>
      </c>
      <c r="B43" s="360">
        <v>3.5000000000000003E-2</v>
      </c>
      <c r="C43" s="363">
        <f t="shared" si="0"/>
        <v>0.50256588443167061</v>
      </c>
      <c r="D43" s="361">
        <f t="shared" si="1"/>
        <v>15.2124033019523</v>
      </c>
      <c r="E43" s="361"/>
      <c r="F43" s="362">
        <v>1.4999999999999999E-2</v>
      </c>
      <c r="G43" s="363">
        <f t="shared" si="2"/>
        <v>0.74247041822377224</v>
      </c>
      <c r="H43" s="361">
        <f t="shared" si="3"/>
        <v>18.168638785081942</v>
      </c>
    </row>
    <row r="44" spans="1:8">
      <c r="A44" s="355">
        <v>21</v>
      </c>
      <c r="B44" s="360">
        <v>3.5000000000000003E-2</v>
      </c>
      <c r="C44" s="363">
        <f t="shared" si="0"/>
        <v>0.48557090283253201</v>
      </c>
      <c r="D44" s="361">
        <f t="shared" si="1"/>
        <v>15.697974204784831</v>
      </c>
      <c r="E44" s="361"/>
      <c r="F44" s="362">
        <v>1.4999999999999999E-2</v>
      </c>
      <c r="G44" s="363">
        <f t="shared" si="2"/>
        <v>0.73149794898893827</v>
      </c>
      <c r="H44" s="361">
        <f t="shared" si="3"/>
        <v>18.90013673407088</v>
      </c>
    </row>
    <row r="45" spans="1:8">
      <c r="A45" s="355">
        <v>22</v>
      </c>
      <c r="B45" s="360">
        <v>3.5000000000000003E-2</v>
      </c>
      <c r="C45" s="363">
        <f>C44/(1+B45)</f>
        <v>0.46915063075606961</v>
      </c>
      <c r="D45" s="361">
        <f t="shared" si="1"/>
        <v>16.1671248355409</v>
      </c>
      <c r="E45" s="361"/>
      <c r="F45" s="362">
        <v>1.4999999999999999E-2</v>
      </c>
      <c r="G45" s="363">
        <f t="shared" si="2"/>
        <v>0.72068763447186046</v>
      </c>
      <c r="H45" s="361">
        <f t="shared" si="3"/>
        <v>19.620824368542742</v>
      </c>
    </row>
    <row r="46" spans="1:8">
      <c r="A46" s="355">
        <v>23</v>
      </c>
      <c r="B46" s="360">
        <v>3.5000000000000003E-2</v>
      </c>
      <c r="C46" s="363">
        <f t="shared" si="0"/>
        <v>0.45328563358074364</v>
      </c>
      <c r="D46" s="361">
        <f t="shared" si="1"/>
        <v>16.620410469121644</v>
      </c>
      <c r="E46" s="361"/>
      <c r="F46" s="362">
        <v>1.4999999999999999E-2</v>
      </c>
      <c r="G46" s="363">
        <f t="shared" si="2"/>
        <v>0.71003707829739948</v>
      </c>
      <c r="H46" s="361">
        <f t="shared" si="3"/>
        <v>20.330861446840142</v>
      </c>
    </row>
    <row r="47" spans="1:8">
      <c r="A47" s="355">
        <v>24</v>
      </c>
      <c r="B47" s="360">
        <v>3.5000000000000003E-2</v>
      </c>
      <c r="C47" s="363">
        <f t="shared" si="0"/>
        <v>0.43795713389443836</v>
      </c>
      <c r="D47" s="361">
        <f t="shared" si="1"/>
        <v>17.058367603016084</v>
      </c>
      <c r="E47" s="361"/>
      <c r="F47" s="362">
        <v>1.4999999999999999E-2</v>
      </c>
      <c r="G47" s="363">
        <f t="shared" si="2"/>
        <v>0.69954391950482719</v>
      </c>
      <c r="H47" s="361">
        <f t="shared" si="3"/>
        <v>21.030405366344969</v>
      </c>
    </row>
    <row r="48" spans="1:8">
      <c r="A48" s="355">
        <v>25</v>
      </c>
      <c r="B48" s="360">
        <v>3.5000000000000003E-2</v>
      </c>
      <c r="C48" s="363">
        <f t="shared" si="0"/>
        <v>0.42314698926998878</v>
      </c>
      <c r="D48" s="361">
        <f t="shared" si="1"/>
        <v>17.481514592286072</v>
      </c>
      <c r="E48" s="361"/>
      <c r="F48" s="362">
        <v>1.4999999999999999E-2</v>
      </c>
      <c r="G48" s="363">
        <f t="shared" si="2"/>
        <v>0.6892058320244604</v>
      </c>
      <c r="H48" s="361">
        <f t="shared" si="3"/>
        <v>21.719611198369428</v>
      </c>
    </row>
    <row r="49" spans="1:8">
      <c r="A49" s="355">
        <v>26</v>
      </c>
      <c r="B49" s="360">
        <v>3.5000000000000003E-2</v>
      </c>
      <c r="C49" s="363">
        <f t="shared" si="0"/>
        <v>0.40883767079225974</v>
      </c>
      <c r="D49" s="361">
        <f t="shared" si="1"/>
        <v>17.890352263078331</v>
      </c>
      <c r="E49" s="361"/>
      <c r="F49" s="362">
        <v>1.4999999999999999E-2</v>
      </c>
      <c r="G49" s="363">
        <f t="shared" si="2"/>
        <v>0.67902052416202996</v>
      </c>
      <c r="H49" s="361">
        <f t="shared" si="3"/>
        <v>22.398631722531459</v>
      </c>
    </row>
    <row r="50" spans="1:8">
      <c r="A50" s="355">
        <v>27</v>
      </c>
      <c r="B50" s="360">
        <v>3.5000000000000003E-2</v>
      </c>
      <c r="C50" s="363">
        <f t="shared" si="0"/>
        <v>0.39501224231136212</v>
      </c>
      <c r="D50" s="361">
        <f t="shared" si="1"/>
        <v>18.285364505389694</v>
      </c>
      <c r="E50" s="361"/>
      <c r="F50" s="362">
        <v>1.4999999999999999E-2</v>
      </c>
      <c r="G50" s="363">
        <f t="shared" si="2"/>
        <v>0.66898573809066997</v>
      </c>
      <c r="H50" s="361">
        <f t="shared" si="3"/>
        <v>23.067617460622127</v>
      </c>
    </row>
    <row r="51" spans="1:8">
      <c r="A51" s="355">
        <v>28</v>
      </c>
      <c r="B51" s="360">
        <v>3.5000000000000003E-2</v>
      </c>
      <c r="C51" s="363">
        <f t="shared" si="0"/>
        <v>0.38165434039745133</v>
      </c>
      <c r="D51" s="361">
        <f t="shared" si="1"/>
        <v>18.667018845787144</v>
      </c>
      <c r="E51" s="361"/>
      <c r="F51" s="362">
        <v>1.4999999999999999E-2</v>
      </c>
      <c r="G51" s="363">
        <f t="shared" si="2"/>
        <v>0.65909924935041386</v>
      </c>
      <c r="H51" s="361">
        <f t="shared" si="3"/>
        <v>23.726716709972543</v>
      </c>
    </row>
    <row r="52" spans="1:8">
      <c r="A52" s="355">
        <v>29</v>
      </c>
      <c r="B52" s="360">
        <v>3.5000000000000003E-2</v>
      </c>
      <c r="C52" s="363">
        <f t="shared" si="0"/>
        <v>0.36874815497338298</v>
      </c>
      <c r="D52" s="361">
        <f t="shared" si="1"/>
        <v>19.035767000760526</v>
      </c>
      <c r="E52" s="361"/>
      <c r="F52" s="362">
        <v>1.4999999999999999E-2</v>
      </c>
      <c r="G52" s="363">
        <f t="shared" si="2"/>
        <v>0.64935886635508766</v>
      </c>
      <c r="H52" s="361">
        <f t="shared" si="3"/>
        <v>24.376075576327629</v>
      </c>
    </row>
    <row r="53" spans="1:8">
      <c r="A53" s="355">
        <v>30</v>
      </c>
      <c r="B53" s="360">
        <v>3.5000000000000003E-2</v>
      </c>
      <c r="C53" s="363">
        <f t="shared" si="0"/>
        <v>0.35627841060230242</v>
      </c>
      <c r="D53" s="361">
        <f t="shared" si="1"/>
        <v>19.39204541136283</v>
      </c>
      <c r="E53" s="361"/>
      <c r="F53" s="362">
        <v>1.4999999999999999E-2</v>
      </c>
      <c r="G53" s="363">
        <f t="shared" si="2"/>
        <v>0.63976242990649035</v>
      </c>
      <c r="H53" s="361">
        <f t="shared" si="3"/>
        <v>25.015838006234119</v>
      </c>
    </row>
    <row r="54" spans="1:8">
      <c r="A54" s="355">
        <v>31</v>
      </c>
      <c r="B54" s="360">
        <v>0.03</v>
      </c>
      <c r="C54" s="363">
        <f t="shared" si="0"/>
        <v>0.34590136951679845</v>
      </c>
      <c r="D54" s="361">
        <f t="shared" si="1"/>
        <v>19.737946780879629</v>
      </c>
      <c r="E54" s="361"/>
      <c r="F54" s="362">
        <v>1.286E-2</v>
      </c>
      <c r="G54" s="363">
        <f t="shared" si="2"/>
        <v>0.63163954535324751</v>
      </c>
      <c r="H54" s="361">
        <f t="shared" si="3"/>
        <v>25.647477551587368</v>
      </c>
    </row>
    <row r="55" spans="1:8">
      <c r="A55" s="355">
        <v>32</v>
      </c>
      <c r="B55" s="360">
        <v>0.03</v>
      </c>
      <c r="C55" s="363">
        <f t="shared" si="0"/>
        <v>0.33582657234640628</v>
      </c>
      <c r="D55" s="361">
        <f t="shared" si="1"/>
        <v>20.073773353226034</v>
      </c>
      <c r="E55" s="361"/>
      <c r="F55" s="362">
        <v>1.286E-2</v>
      </c>
      <c r="G55" s="363">
        <f t="shared" si="2"/>
        <v>0.62361979479221952</v>
      </c>
      <c r="H55" s="361">
        <f t="shared" si="3"/>
        <v>26.271097346379587</v>
      </c>
    </row>
    <row r="56" spans="1:8">
      <c r="A56" s="355">
        <v>33</v>
      </c>
      <c r="B56" s="360">
        <v>0.03</v>
      </c>
      <c r="C56" s="363">
        <f t="shared" si="0"/>
        <v>0.32604521587029733</v>
      </c>
      <c r="D56" s="361">
        <f t="shared" si="1"/>
        <v>20.399818569096333</v>
      </c>
      <c r="E56" s="361"/>
      <c r="F56" s="362">
        <v>1.286E-2</v>
      </c>
      <c r="G56" s="363">
        <f t="shared" si="2"/>
        <v>0.61570186875996624</v>
      </c>
      <c r="H56" s="361">
        <f t="shared" si="3"/>
        <v>26.886799215139554</v>
      </c>
    </row>
    <row r="57" spans="1:8">
      <c r="A57" s="355">
        <v>34</v>
      </c>
      <c r="B57" s="360">
        <v>0.03</v>
      </c>
      <c r="C57" s="363">
        <f t="shared" si="0"/>
        <v>0.31654875327213333</v>
      </c>
      <c r="D57" s="361">
        <f t="shared" si="1"/>
        <v>20.716367322368466</v>
      </c>
      <c r="E57" s="361"/>
      <c r="F57" s="362">
        <v>1.286E-2</v>
      </c>
      <c r="G57" s="363">
        <f t="shared" si="2"/>
        <v>0.60788447441893867</v>
      </c>
      <c r="H57" s="361">
        <f t="shared" si="3"/>
        <v>27.494683689558492</v>
      </c>
    </row>
    <row r="58" spans="1:8">
      <c r="A58" s="355">
        <v>35</v>
      </c>
      <c r="B58" s="360">
        <v>0.03</v>
      </c>
      <c r="C58" s="363">
        <f t="shared" si="0"/>
        <v>0.30732888667197411</v>
      </c>
      <c r="D58" s="361">
        <f t="shared" si="1"/>
        <v>21.023696209040441</v>
      </c>
      <c r="E58" s="361"/>
      <c r="F58" s="362">
        <v>1.286E-2</v>
      </c>
      <c r="G58" s="363">
        <f t="shared" si="2"/>
        <v>0.60016633534638408</v>
      </c>
      <c r="H58" s="361">
        <f t="shared" si="3"/>
        <v>28.094850024904876</v>
      </c>
    </row>
    <row r="59" spans="1:8">
      <c r="A59" s="355">
        <v>36</v>
      </c>
      <c r="B59" s="360">
        <v>0.03</v>
      </c>
      <c r="C59" s="363">
        <f t="shared" si="0"/>
        <v>0.29837755987570302</v>
      </c>
      <c r="D59" s="361">
        <f t="shared" si="1"/>
        <v>21.322073768916145</v>
      </c>
      <c r="E59" s="361"/>
      <c r="F59" s="362">
        <v>1.286E-2</v>
      </c>
      <c r="G59" s="363">
        <f t="shared" si="2"/>
        <v>0.59254619132593256</v>
      </c>
      <c r="H59" s="361">
        <f t="shared" si="3"/>
        <v>28.687396216230809</v>
      </c>
    </row>
    <row r="60" spans="1:8">
      <c r="A60" s="355">
        <v>37</v>
      </c>
      <c r="B60" s="360">
        <v>0.03</v>
      </c>
      <c r="C60" s="363">
        <f t="shared" si="0"/>
        <v>0.28968695133563399</v>
      </c>
      <c r="D60" s="361">
        <f t="shared" si="1"/>
        <v>21.61176072025178</v>
      </c>
      <c r="E60" s="361"/>
      <c r="F60" s="362">
        <v>1.286E-2</v>
      </c>
      <c r="G60" s="363">
        <f t="shared" si="2"/>
        <v>0.58502279814182856</v>
      </c>
      <c r="H60" s="361">
        <f t="shared" si="3"/>
        <v>29.272419014372637</v>
      </c>
    </row>
    <row r="61" spans="1:8">
      <c r="A61" s="355">
        <v>38</v>
      </c>
      <c r="B61" s="360">
        <v>0.03</v>
      </c>
      <c r="C61" s="363">
        <f t="shared" si="0"/>
        <v>0.28124946731614953</v>
      </c>
      <c r="D61" s="361">
        <f t="shared" si="1"/>
        <v>21.893010187567931</v>
      </c>
      <c r="E61" s="361"/>
      <c r="F61" s="362">
        <v>1.286E-2</v>
      </c>
      <c r="G61" s="363">
        <f t="shared" si="2"/>
        <v>0.577594927375776</v>
      </c>
      <c r="H61" s="361">
        <f t="shared" si="3"/>
        <v>29.850013941748415</v>
      </c>
    </row>
    <row r="62" spans="1:8">
      <c r="A62" s="355">
        <v>39</v>
      </c>
      <c r="B62" s="360">
        <v>0.03</v>
      </c>
      <c r="C62" s="363">
        <f t="shared" si="0"/>
        <v>0.2730577352583976</v>
      </c>
      <c r="D62" s="361">
        <f t="shared" si="1"/>
        <v>22.166067922826329</v>
      </c>
      <c r="E62" s="361"/>
      <c r="F62" s="362">
        <v>1.286E-2</v>
      </c>
      <c r="G62" s="363">
        <f t="shared" si="2"/>
        <v>0.57026136620636214</v>
      </c>
      <c r="H62" s="361">
        <f t="shared" si="3"/>
        <v>30.420275307954778</v>
      </c>
    </row>
    <row r="63" spans="1:8">
      <c r="A63" s="355">
        <v>40</v>
      </c>
      <c r="B63" s="360">
        <v>0.03</v>
      </c>
      <c r="C63" s="363">
        <f t="shared" si="0"/>
        <v>0.26510459733825009</v>
      </c>
      <c r="D63" s="361">
        <f t="shared" si="1"/>
        <v>22.43117252016458</v>
      </c>
      <c r="E63" s="361"/>
      <c r="F63" s="362">
        <v>1.286E-2</v>
      </c>
      <c r="G63" s="363">
        <f t="shared" si="2"/>
        <v>0.56302091721102832</v>
      </c>
      <c r="H63" s="361">
        <f t="shared" si="3"/>
        <v>30.983296225165805</v>
      </c>
    </row>
    <row r="64" spans="1:8">
      <c r="A64" s="355">
        <v>41</v>
      </c>
      <c r="B64" s="360">
        <v>0.03</v>
      </c>
      <c r="C64" s="363">
        <f t="shared" si="0"/>
        <v>0.25738310421189331</v>
      </c>
      <c r="D64" s="361">
        <f t="shared" si="1"/>
        <v>22.688555624376473</v>
      </c>
      <c r="E64" s="361"/>
      <c r="F64" s="362">
        <v>1.286E-2</v>
      </c>
      <c r="G64" s="363">
        <f t="shared" si="2"/>
        <v>0.55587239817055489</v>
      </c>
      <c r="H64" s="361">
        <f t="shared" si="3"/>
        <v>31.539168623336359</v>
      </c>
    </row>
    <row r="65" spans="1:8">
      <c r="A65" s="355">
        <v>42</v>
      </c>
      <c r="B65" s="360">
        <v>0.03</v>
      </c>
      <c r="C65" s="363">
        <f t="shared" si="0"/>
        <v>0.24988650894358574</v>
      </c>
      <c r="D65" s="361">
        <f t="shared" si="1"/>
        <v>22.938442133320059</v>
      </c>
      <c r="E65" s="361"/>
      <c r="F65" s="362">
        <v>1.286E-2</v>
      </c>
      <c r="G65" s="363">
        <f t="shared" si="2"/>
        <v>0.54881464187602913</v>
      </c>
      <c r="H65" s="361">
        <f t="shared" si="3"/>
        <v>32.087983265212387</v>
      </c>
    </row>
    <row r="66" spans="1:8">
      <c r="A66" s="355">
        <v>43</v>
      </c>
      <c r="B66" s="360">
        <v>0.03</v>
      </c>
      <c r="C66" s="363">
        <f t="shared" si="0"/>
        <v>0.24260826111027742</v>
      </c>
      <c r="D66" s="361">
        <f t="shared" si="1"/>
        <v>23.181050394430336</v>
      </c>
      <c r="E66" s="361"/>
      <c r="F66" s="362">
        <v>1.286E-2</v>
      </c>
      <c r="G66" s="363">
        <f t="shared" si="2"/>
        <v>0.54184649593826306</v>
      </c>
      <c r="H66" s="361">
        <f t="shared" si="3"/>
        <v>32.629829761150653</v>
      </c>
    </row>
    <row r="67" spans="1:8">
      <c r="A67" s="355">
        <v>44</v>
      </c>
      <c r="B67" s="360">
        <v>0.03</v>
      </c>
      <c r="C67" s="363">
        <f t="shared" si="0"/>
        <v>0.23554200107793924</v>
      </c>
      <c r="D67" s="361">
        <f t="shared" si="1"/>
        <v>23.416592395508275</v>
      </c>
      <c r="E67" s="361"/>
      <c r="F67" s="362">
        <v>1.286E-2</v>
      </c>
      <c r="G67" s="363">
        <f t="shared" si="2"/>
        <v>0.5349668225996318</v>
      </c>
      <c r="H67" s="361">
        <f t="shared" si="3"/>
        <v>33.164796583750288</v>
      </c>
    </row>
    <row r="68" spans="1:8">
      <c r="A68" s="355">
        <v>45</v>
      </c>
      <c r="B68" s="360">
        <v>0.03</v>
      </c>
      <c r="C68" s="363">
        <f t="shared" si="0"/>
        <v>0.2286815544446012</v>
      </c>
      <c r="D68" s="361">
        <f t="shared" si="1"/>
        <v>23.645273949952877</v>
      </c>
      <c r="E68" s="361"/>
      <c r="F68" s="362">
        <v>1.286E-2</v>
      </c>
      <c r="G68" s="363">
        <f t="shared" si="2"/>
        <v>0.52817449854830056</v>
      </c>
      <c r="H68" s="361">
        <f t="shared" si="3"/>
        <v>33.692971082298591</v>
      </c>
    </row>
    <row r="69" spans="1:8">
      <c r="A69" s="355">
        <v>46</v>
      </c>
      <c r="B69" s="360">
        <v>0.03</v>
      </c>
      <c r="C69" s="363">
        <f t="shared" si="0"/>
        <v>0.22202092664524387</v>
      </c>
      <c r="D69" s="361">
        <f t="shared" si="1"/>
        <v>23.86729487659812</v>
      </c>
      <c r="E69" s="361"/>
      <c r="F69" s="362">
        <v>1.286E-2</v>
      </c>
      <c r="G69" s="363">
        <f t="shared" si="2"/>
        <v>0.52146841473481087</v>
      </c>
      <c r="H69" s="361">
        <f t="shared" si="3"/>
        <v>34.214439497033403</v>
      </c>
    </row>
    <row r="70" spans="1:8">
      <c r="A70" s="355">
        <v>47</v>
      </c>
      <c r="B70" s="360">
        <v>0.03</v>
      </c>
      <c r="C70" s="363">
        <f t="shared" si="0"/>
        <v>0.215554297713829</v>
      </c>
      <c r="D70" s="361">
        <f t="shared" si="1"/>
        <v>24.082849174311949</v>
      </c>
      <c r="E70" s="361"/>
      <c r="F70" s="362">
        <v>1.286E-2</v>
      </c>
      <c r="G70" s="363">
        <f t="shared" si="2"/>
        <v>0.51484747619099458</v>
      </c>
      <c r="H70" s="361">
        <f t="shared" si="3"/>
        <v>34.729286973224397</v>
      </c>
    </row>
    <row r="71" spans="1:8">
      <c r="A71" s="355">
        <v>48</v>
      </c>
      <c r="B71" s="360">
        <v>0.03</v>
      </c>
      <c r="C71" s="363">
        <f t="shared" si="0"/>
        <v>0.20927601719789224</v>
      </c>
      <c r="D71" s="361">
        <f t="shared" si="1"/>
        <v>24.292125191509843</v>
      </c>
      <c r="E71" s="361"/>
      <c r="F71" s="362">
        <v>1.286E-2</v>
      </c>
      <c r="G71" s="363">
        <f t="shared" si="2"/>
        <v>0.50831060185118826</v>
      </c>
      <c r="H71" s="361">
        <f t="shared" si="3"/>
        <v>35.237597575075583</v>
      </c>
    </row>
    <row r="72" spans="1:8">
      <c r="A72" s="355">
        <v>49</v>
      </c>
      <c r="B72" s="360">
        <v>0.03</v>
      </c>
      <c r="C72" s="363">
        <f t="shared" si="0"/>
        <v>0.20318059922125459</v>
      </c>
      <c r="D72" s="361">
        <f t="shared" si="1"/>
        <v>24.495305790731098</v>
      </c>
      <c r="E72" s="361"/>
      <c r="F72" s="362">
        <v>1.286E-2</v>
      </c>
      <c r="G72" s="363">
        <f t="shared" si="2"/>
        <v>0.50185672437571649</v>
      </c>
      <c r="H72" s="361">
        <f t="shared" si="3"/>
        <v>35.739454299451296</v>
      </c>
    </row>
    <row r="73" spans="1:8">
      <c r="A73" s="355">
        <v>50</v>
      </c>
      <c r="B73" s="360">
        <v>0.03</v>
      </c>
      <c r="C73" s="363">
        <f t="shared" si="0"/>
        <v>0.19726271769053844</v>
      </c>
      <c r="D73" s="361">
        <f t="shared" si="1"/>
        <v>24.692568508421637</v>
      </c>
      <c r="E73" s="361"/>
      <c r="F73" s="362">
        <v>1.286E-2</v>
      </c>
      <c r="G73" s="363">
        <f t="shared" si="2"/>
        <v>0.49548478997661716</v>
      </c>
      <c r="H73" s="361">
        <f t="shared" si="3"/>
        <v>36.234939089427911</v>
      </c>
    </row>
    <row r="74" spans="1:8">
      <c r="A74" s="355">
        <v>51</v>
      </c>
      <c r="B74" s="360">
        <v>0.03</v>
      </c>
      <c r="C74" s="363">
        <f t="shared" si="0"/>
        <v>0.19151720164129946</v>
      </c>
      <c r="D74" s="361">
        <f t="shared" si="1"/>
        <v>24.884085710062937</v>
      </c>
      <c r="E74" s="361"/>
      <c r="F74" s="362">
        <v>1.286E-2</v>
      </c>
      <c r="G74" s="363">
        <f t="shared" si="2"/>
        <v>0.48919375824557898</v>
      </c>
      <c r="H74" s="361">
        <f t="shared" si="3"/>
        <v>36.724132847673488</v>
      </c>
    </row>
    <row r="75" spans="1:8">
      <c r="A75" s="355">
        <v>52</v>
      </c>
      <c r="B75" s="360">
        <v>0.03</v>
      </c>
      <c r="C75" s="363">
        <f t="shared" si="0"/>
        <v>0.18593903071970821</v>
      </c>
      <c r="D75" s="361">
        <f t="shared" si="1"/>
        <v>25.070024740782646</v>
      </c>
      <c r="E75" s="361"/>
      <c r="F75" s="362">
        <v>1.286E-2</v>
      </c>
      <c r="G75" s="363">
        <f t="shared" si="2"/>
        <v>0.4829826019840639</v>
      </c>
      <c r="H75" s="361">
        <f t="shared" si="3"/>
        <v>37.20711544965755</v>
      </c>
    </row>
    <row r="76" spans="1:8">
      <c r="A76" s="355">
        <v>53</v>
      </c>
      <c r="B76" s="360">
        <v>0.03</v>
      </c>
      <c r="C76" s="363">
        <f t="shared" si="0"/>
        <v>0.18052333079583321</v>
      </c>
      <c r="D76" s="361">
        <f t="shared" si="1"/>
        <v>25.250548071578478</v>
      </c>
      <c r="E76" s="361"/>
      <c r="F76" s="362">
        <v>1.286E-2</v>
      </c>
      <c r="G76" s="363">
        <f t="shared" si="2"/>
        <v>0.47685030703558623</v>
      </c>
      <c r="H76" s="361">
        <f t="shared" si="3"/>
        <v>37.683965756693134</v>
      </c>
    </row>
    <row r="77" spans="1:8">
      <c r="A77" s="355">
        <v>54</v>
      </c>
      <c r="B77" s="360">
        <v>0.03</v>
      </c>
      <c r="C77" s="363">
        <f t="shared" si="0"/>
        <v>0.17526536970469245</v>
      </c>
      <c r="D77" s="361">
        <f t="shared" si="1"/>
        <v>25.425813441283172</v>
      </c>
      <c r="E77" s="361"/>
      <c r="F77" s="362">
        <v>1.286E-2</v>
      </c>
      <c r="G77" s="363">
        <f t="shared" si="2"/>
        <v>0.47079587212012142</v>
      </c>
      <c r="H77" s="361">
        <f t="shared" si="3"/>
        <v>38.154761628813255</v>
      </c>
    </row>
    <row r="78" spans="1:8">
      <c r="A78" s="355">
        <v>55</v>
      </c>
      <c r="B78" s="360">
        <v>0.03</v>
      </c>
      <c r="C78" s="363">
        <f t="shared" si="0"/>
        <v>0.17016055311135189</v>
      </c>
      <c r="D78" s="361">
        <f t="shared" si="1"/>
        <v>25.595973994394523</v>
      </c>
      <c r="E78" s="361"/>
      <c r="F78" s="362">
        <v>1.286E-2</v>
      </c>
      <c r="G78" s="363">
        <f t="shared" si="2"/>
        <v>0.46481830867061724</v>
      </c>
      <c r="H78" s="361">
        <f t="shared" si="3"/>
        <v>38.61957993748387</v>
      </c>
    </row>
    <row r="79" spans="1:8">
      <c r="A79" s="355">
        <v>56</v>
      </c>
      <c r="B79" s="360">
        <v>0.03</v>
      </c>
      <c r="C79" s="363">
        <f t="shared" si="0"/>
        <v>0.16520442049645814</v>
      </c>
      <c r="D79" s="361">
        <f t="shared" si="1"/>
        <v>25.761178414890981</v>
      </c>
      <c r="E79" s="361"/>
      <c r="F79" s="362">
        <v>1.286E-2</v>
      </c>
      <c r="G79" s="363">
        <f t="shared" si="2"/>
        <v>0.45891664067158067</v>
      </c>
      <c r="H79" s="361">
        <f t="shared" si="3"/>
        <v>39.078496578155452</v>
      </c>
    </row>
    <row r="80" spans="1:8">
      <c r="A80" s="355">
        <v>57</v>
      </c>
      <c r="B80" s="360">
        <v>0.03</v>
      </c>
      <c r="C80" s="363">
        <f t="shared" si="0"/>
        <v>0.16039264125869723</v>
      </c>
      <c r="D80" s="361">
        <f t="shared" si="1"/>
        <v>25.921571056149677</v>
      </c>
      <c r="E80" s="361"/>
      <c r="F80" s="362">
        <v>1.286E-2</v>
      </c>
      <c r="G80" s="363">
        <f t="shared" si="2"/>
        <v>0.45308990449971431</v>
      </c>
      <c r="H80" s="361">
        <f t="shared" si="3"/>
        <v>39.531586482655165</v>
      </c>
    </row>
    <row r="81" spans="1:8">
      <c r="A81" s="355">
        <v>58</v>
      </c>
      <c r="B81" s="360">
        <v>0.03</v>
      </c>
      <c r="C81" s="363">
        <f t="shared" si="0"/>
        <v>0.15572101093077401</v>
      </c>
      <c r="D81" s="361">
        <f t="shared" si="1"/>
        <v>26.07729206708045</v>
      </c>
      <c r="E81" s="361"/>
      <c r="F81" s="362">
        <v>1.286E-2</v>
      </c>
      <c r="G81" s="363">
        <f t="shared" si="2"/>
        <v>0.4473371487665761</v>
      </c>
      <c r="H81" s="361">
        <f t="shared" si="3"/>
        <v>39.978923631421743</v>
      </c>
    </row>
    <row r="82" spans="1:8">
      <c r="A82" s="355">
        <v>59</v>
      </c>
      <c r="B82" s="360">
        <v>0.03</v>
      </c>
      <c r="C82" s="363">
        <f t="shared" si="0"/>
        <v>0.15118544750560584</v>
      </c>
      <c r="D82" s="361">
        <f t="shared" si="1"/>
        <v>26.228477514586057</v>
      </c>
      <c r="E82" s="361"/>
      <c r="F82" s="362">
        <v>1.286E-2</v>
      </c>
      <c r="G82" s="363">
        <f t="shared" si="2"/>
        <v>0.44165743416323683</v>
      </c>
      <c r="H82" s="361">
        <f t="shared" si="3"/>
        <v>40.420581065584983</v>
      </c>
    </row>
    <row r="83" spans="1:8">
      <c r="A83" s="355">
        <v>60</v>
      </c>
      <c r="B83" s="360">
        <v>0.03</v>
      </c>
      <c r="C83" s="363">
        <f t="shared" si="0"/>
        <v>0.14678198786952024</v>
      </c>
      <c r="D83" s="361">
        <f t="shared" si="1"/>
        <v>26.375259502455577</v>
      </c>
      <c r="E83" s="361"/>
      <c r="F83" s="362">
        <v>1.286E-2</v>
      </c>
      <c r="G83" s="363">
        <f t="shared" si="2"/>
        <v>0.43604983330690994</v>
      </c>
      <c r="H83" s="361">
        <f t="shared" si="3"/>
        <v>40.856630898891893</v>
      </c>
    </row>
    <row r="84" spans="1:8">
      <c r="A84" s="355">
        <v>61</v>
      </c>
      <c r="B84" s="360">
        <v>0.03</v>
      </c>
      <c r="C84" s="363">
        <f t="shared" si="0"/>
        <v>0.14250678433934003</v>
      </c>
      <c r="D84" s="361">
        <f t="shared" si="1"/>
        <v>26.517766286794917</v>
      </c>
      <c r="E84" s="361"/>
      <c r="F84" s="362">
        <v>1.286E-2</v>
      </c>
      <c r="G84" s="363">
        <f t="shared" si="2"/>
        <v>0.43051343058952857</v>
      </c>
      <c r="H84" s="361">
        <f t="shared" si="3"/>
        <v>41.287144329481421</v>
      </c>
    </row>
    <row r="85" spans="1:8">
      <c r="A85" s="355">
        <v>62</v>
      </c>
      <c r="B85" s="360">
        <v>0.03</v>
      </c>
      <c r="C85" s="363">
        <f t="shared" si="0"/>
        <v>0.13835610130033013</v>
      </c>
      <c r="D85" s="361">
        <f t="shared" si="1"/>
        <v>26.656122388095248</v>
      </c>
      <c r="E85" s="361"/>
      <c r="F85" s="362">
        <v>1.286E-2</v>
      </c>
      <c r="G85" s="363">
        <f t="shared" si="2"/>
        <v>0.4250473220282453</v>
      </c>
      <c r="H85" s="361">
        <f t="shared" si="3"/>
        <v>41.71219165150967</v>
      </c>
    </row>
    <row r="86" spans="1:8">
      <c r="A86" s="355">
        <v>63</v>
      </c>
      <c r="B86" s="360">
        <v>0.03</v>
      </c>
      <c r="C86" s="363">
        <f t="shared" si="0"/>
        <v>0.13432631194206809</v>
      </c>
      <c r="D86" s="361">
        <f t="shared" si="1"/>
        <v>26.790448700037317</v>
      </c>
      <c r="E86" s="361"/>
      <c r="F86" s="362">
        <v>1.286E-2</v>
      </c>
      <c r="G86" s="363">
        <f t="shared" si="2"/>
        <v>0.41965061511782997</v>
      </c>
      <c r="H86" s="361">
        <f t="shared" si="3"/>
        <v>42.131842266627501</v>
      </c>
    </row>
    <row r="87" spans="1:8">
      <c r="A87" s="355">
        <v>64</v>
      </c>
      <c r="B87" s="360">
        <v>0.03</v>
      </c>
      <c r="C87" s="363">
        <f t="shared" si="0"/>
        <v>0.1304138950893865</v>
      </c>
      <c r="D87" s="361">
        <f t="shared" si="1"/>
        <v>26.920862595126703</v>
      </c>
      <c r="E87" s="361"/>
      <c r="F87" s="362">
        <v>1.286E-2</v>
      </c>
      <c r="G87" s="363">
        <f t="shared" si="2"/>
        <v>0.41432242868494157</v>
      </c>
      <c r="H87" s="361">
        <f t="shared" si="3"/>
        <v>42.546164695312441</v>
      </c>
    </row>
    <row r="88" spans="1:8">
      <c r="A88" s="355">
        <v>65</v>
      </c>
      <c r="B88" s="360">
        <v>0.03</v>
      </c>
      <c r="C88" s="363">
        <f t="shared" si="0"/>
        <v>0.12661543212561796</v>
      </c>
      <c r="D88" s="361">
        <f t="shared" si="1"/>
        <v>27.047478027252321</v>
      </c>
      <c r="E88" s="361"/>
      <c r="F88" s="362">
        <v>1.286E-2</v>
      </c>
      <c r="G88" s="363">
        <f t="shared" si="2"/>
        <v>0.40906189274425048</v>
      </c>
      <c r="H88" s="361">
        <f t="shared" si="3"/>
        <v>42.955226588056689</v>
      </c>
    </row>
    <row r="89" spans="1:8">
      <c r="A89" s="355">
        <v>66</v>
      </c>
      <c r="B89" s="360">
        <v>0.03</v>
      </c>
      <c r="C89" s="363">
        <f t="shared" ref="C89:C152" si="4">C88/(1+B89)</f>
        <v>0.12292760400545433</v>
      </c>
      <c r="D89" s="361">
        <f t="shared" ref="D89:D152" si="5">D88+C89</f>
        <v>27.170405631257776</v>
      </c>
      <c r="E89" s="361"/>
      <c r="F89" s="362">
        <v>1.286E-2</v>
      </c>
      <c r="G89" s="363">
        <f t="shared" ref="G89:G152" si="6">G88/(1+F89)</f>
        <v>0.40386814835638729</v>
      </c>
      <c r="H89" s="361">
        <f t="shared" ref="H89:H152" si="7">H88+G89</f>
        <v>43.359094736413077</v>
      </c>
    </row>
    <row r="90" spans="1:8">
      <c r="A90" s="355">
        <v>67</v>
      </c>
      <c r="B90" s="360">
        <v>0.03</v>
      </c>
      <c r="C90" s="363">
        <f t="shared" si="4"/>
        <v>0.11934718835481002</v>
      </c>
      <c r="D90" s="361">
        <f t="shared" si="5"/>
        <v>27.289752819612584</v>
      </c>
      <c r="E90" s="361"/>
      <c r="F90" s="362">
        <v>1.286E-2</v>
      </c>
      <c r="G90" s="363">
        <f t="shared" si="6"/>
        <v>0.39874034748769549</v>
      </c>
      <c r="H90" s="361">
        <f t="shared" si="7"/>
        <v>43.757835083900773</v>
      </c>
    </row>
    <row r="91" spans="1:8">
      <c r="A91" s="355">
        <v>68</v>
      </c>
      <c r="B91" s="360">
        <v>0.03</v>
      </c>
      <c r="C91" s="363">
        <f t="shared" si="4"/>
        <v>0.11587105665515536</v>
      </c>
      <c r="D91" s="361">
        <f t="shared" si="5"/>
        <v>27.40562387626774</v>
      </c>
      <c r="E91" s="361"/>
      <c r="F91" s="362">
        <v>1.286E-2</v>
      </c>
      <c r="G91" s="363">
        <f t="shared" si="6"/>
        <v>0.39367765287176454</v>
      </c>
      <c r="H91" s="361">
        <f t="shared" si="7"/>
        <v>44.151512736772538</v>
      </c>
    </row>
    <row r="92" spans="1:8">
      <c r="A92" s="355">
        <v>69</v>
      </c>
      <c r="B92" s="360">
        <v>0.03</v>
      </c>
      <c r="C92" s="363">
        <f t="shared" si="4"/>
        <v>0.11249617150985958</v>
      </c>
      <c r="D92" s="361">
        <f t="shared" si="5"/>
        <v>27.5181200477776</v>
      </c>
      <c r="E92" s="361"/>
      <c r="F92" s="362">
        <v>1.286E-2</v>
      </c>
      <c r="G92" s="363">
        <f t="shared" si="6"/>
        <v>0.38867923787272129</v>
      </c>
      <c r="H92" s="361">
        <f t="shared" si="7"/>
        <v>44.540191974645261</v>
      </c>
    </row>
    <row r="93" spans="1:8">
      <c r="A93" s="355">
        <v>70</v>
      </c>
      <c r="B93" s="360">
        <v>0.03</v>
      </c>
      <c r="C93" s="363">
        <f t="shared" si="4"/>
        <v>0.10921958399015493</v>
      </c>
      <c r="D93" s="361">
        <f t="shared" si="5"/>
        <v>27.627339631767754</v>
      </c>
      <c r="E93" s="361"/>
      <c r="F93" s="362">
        <v>1.286E-2</v>
      </c>
      <c r="G93" s="363">
        <f t="shared" si="6"/>
        <v>0.38374428635025698</v>
      </c>
      <c r="H93" s="361">
        <f t="shared" si="7"/>
        <v>44.923936260995518</v>
      </c>
    </row>
    <row r="94" spans="1:8">
      <c r="A94" s="355">
        <v>71</v>
      </c>
      <c r="B94" s="360">
        <v>0.03</v>
      </c>
      <c r="C94" s="363">
        <f t="shared" si="4"/>
        <v>0.10603843105840284</v>
      </c>
      <c r="D94" s="361">
        <f t="shared" si="5"/>
        <v>27.733378062826155</v>
      </c>
      <c r="E94" s="361"/>
      <c r="F94" s="362">
        <v>1.286E-2</v>
      </c>
      <c r="G94" s="363">
        <f t="shared" si="6"/>
        <v>0.37887199252636783</v>
      </c>
      <c r="H94" s="361">
        <f t="shared" si="7"/>
        <v>45.302808253521889</v>
      </c>
    </row>
    <row r="95" spans="1:8">
      <c r="A95" s="355">
        <v>72</v>
      </c>
      <c r="B95" s="360">
        <v>0.03</v>
      </c>
      <c r="C95" s="363">
        <f t="shared" si="4"/>
        <v>0.10294993306641052</v>
      </c>
      <c r="D95" s="361">
        <f t="shared" si="5"/>
        <v>27.836327995892564</v>
      </c>
      <c r="E95" s="361"/>
      <c r="F95" s="362">
        <v>1.286E-2</v>
      </c>
      <c r="G95" s="363">
        <f t="shared" si="6"/>
        <v>0.37406156085378806</v>
      </c>
      <c r="H95" s="361">
        <f t="shared" si="7"/>
        <v>45.676869814375678</v>
      </c>
    </row>
    <row r="96" spans="1:8">
      <c r="A96" s="355">
        <v>73</v>
      </c>
      <c r="B96" s="360">
        <v>0.03</v>
      </c>
      <c r="C96" s="363">
        <f t="shared" si="4"/>
        <v>9.9951391326612155E-2</v>
      </c>
      <c r="D96" s="361">
        <f t="shared" si="5"/>
        <v>27.936279387219177</v>
      </c>
      <c r="E96" s="361"/>
      <c r="F96" s="362">
        <v>1.286E-2</v>
      </c>
      <c r="G96" s="363">
        <f t="shared" si="6"/>
        <v>0.36931220588609287</v>
      </c>
      <c r="H96" s="361">
        <f t="shared" si="7"/>
        <v>46.046182020261767</v>
      </c>
    </row>
    <row r="97" spans="1:8">
      <c r="A97" s="355">
        <v>74</v>
      </c>
      <c r="B97" s="360">
        <v>0.03</v>
      </c>
      <c r="C97" s="363">
        <f t="shared" si="4"/>
        <v>9.7040185753992383E-2</v>
      </c>
      <c r="D97" s="361">
        <f t="shared" si="5"/>
        <v>28.03331957297317</v>
      </c>
      <c r="E97" s="361"/>
      <c r="F97" s="362">
        <v>1.286E-2</v>
      </c>
      <c r="G97" s="363">
        <f t="shared" si="6"/>
        <v>0.3646231521494509</v>
      </c>
      <c r="H97" s="361">
        <f t="shared" si="7"/>
        <v>46.410805172411216</v>
      </c>
    </row>
    <row r="98" spans="1:8">
      <c r="A98" s="355">
        <v>75</v>
      </c>
      <c r="B98" s="360">
        <v>0.03</v>
      </c>
      <c r="C98" s="363">
        <f t="shared" si="4"/>
        <v>9.4213772576691626E-2</v>
      </c>
      <c r="D98" s="361">
        <f t="shared" si="5"/>
        <v>28.12753334554986</v>
      </c>
      <c r="E98" s="361"/>
      <c r="F98" s="362">
        <v>1.286E-2</v>
      </c>
      <c r="G98" s="363">
        <f t="shared" si="6"/>
        <v>0.35999363401600504</v>
      </c>
      <c r="H98" s="361">
        <f t="shared" si="7"/>
        <v>46.770798806427223</v>
      </c>
    </row>
    <row r="99" spans="1:8">
      <c r="A99" s="355">
        <v>76</v>
      </c>
      <c r="B99" s="360">
        <v>2.5000000000000001E-2</v>
      </c>
      <c r="C99" s="363">
        <f t="shared" si="4"/>
        <v>9.1915875684577208E-2</v>
      </c>
      <c r="D99" s="361">
        <f t="shared" si="5"/>
        <v>28.219449221234438</v>
      </c>
      <c r="E99" s="361"/>
      <c r="F99" s="362">
        <v>1.0710000000000001E-2</v>
      </c>
      <c r="G99" s="363">
        <f t="shared" si="6"/>
        <v>0.3561789573824391</v>
      </c>
      <c r="H99" s="361">
        <f t="shared" si="7"/>
        <v>47.126977763809663</v>
      </c>
    </row>
    <row r="100" spans="1:8">
      <c r="A100" s="355">
        <v>77</v>
      </c>
      <c r="B100" s="360">
        <v>2.5000000000000001E-2</v>
      </c>
      <c r="C100" s="363">
        <f t="shared" si="4"/>
        <v>8.9674025058124107E-2</v>
      </c>
      <c r="D100" s="361">
        <f t="shared" si="5"/>
        <v>28.309123246292561</v>
      </c>
      <c r="E100" s="361"/>
      <c r="F100" s="362">
        <v>1.0710000000000001E-2</v>
      </c>
      <c r="G100" s="363">
        <f t="shared" si="6"/>
        <v>0.35240470301316806</v>
      </c>
      <c r="H100" s="361">
        <f t="shared" si="7"/>
        <v>47.479382466822834</v>
      </c>
    </row>
    <row r="101" spans="1:8">
      <c r="A101" s="355">
        <v>78</v>
      </c>
      <c r="B101" s="360">
        <v>2.5000000000000001E-2</v>
      </c>
      <c r="C101" s="363">
        <f t="shared" si="4"/>
        <v>8.7486853715243035E-2</v>
      </c>
      <c r="D101" s="361">
        <f t="shared" si="5"/>
        <v>28.396610100007805</v>
      </c>
      <c r="E101" s="361"/>
      <c r="F101" s="362">
        <v>1.0710000000000001E-2</v>
      </c>
      <c r="G101" s="363">
        <f t="shared" si="6"/>
        <v>0.34867044257320901</v>
      </c>
      <c r="H101" s="361">
        <f t="shared" si="7"/>
        <v>47.828052909396042</v>
      </c>
    </row>
    <row r="102" spans="1:8">
      <c r="A102" s="355">
        <v>79</v>
      </c>
      <c r="B102" s="360">
        <v>2.5000000000000001E-2</v>
      </c>
      <c r="C102" s="363">
        <f t="shared" si="4"/>
        <v>8.5353028014871254E-2</v>
      </c>
      <c r="D102" s="361">
        <f t="shared" si="5"/>
        <v>28.481963128022677</v>
      </c>
      <c r="E102" s="361"/>
      <c r="F102" s="362">
        <v>1.0710000000000001E-2</v>
      </c>
      <c r="G102" s="363">
        <f t="shared" si="6"/>
        <v>0.34497575226643551</v>
      </c>
      <c r="H102" s="361">
        <f t="shared" si="7"/>
        <v>48.173028661662478</v>
      </c>
    </row>
    <row r="103" spans="1:8">
      <c r="A103" s="355">
        <v>80</v>
      </c>
      <c r="B103" s="360">
        <v>2.5000000000000001E-2</v>
      </c>
      <c r="C103" s="363">
        <f t="shared" si="4"/>
        <v>8.3271246843776847E-2</v>
      </c>
      <c r="D103" s="361">
        <f t="shared" si="5"/>
        <v>28.565234374866453</v>
      </c>
      <c r="E103" s="361"/>
      <c r="F103" s="362">
        <v>1.0710000000000001E-2</v>
      </c>
      <c r="G103" s="363">
        <f t="shared" si="6"/>
        <v>0.34132021278748159</v>
      </c>
      <c r="H103" s="361">
        <f t="shared" si="7"/>
        <v>48.514348874449958</v>
      </c>
    </row>
    <row r="104" spans="1:8">
      <c r="A104" s="355">
        <v>81</v>
      </c>
      <c r="B104" s="360">
        <v>2.5000000000000001E-2</v>
      </c>
      <c r="C104" s="363">
        <f t="shared" si="4"/>
        <v>8.1240240823196933E-2</v>
      </c>
      <c r="D104" s="361">
        <f t="shared" si="5"/>
        <v>28.646474615689648</v>
      </c>
      <c r="E104" s="361"/>
      <c r="F104" s="362">
        <v>1.0710000000000001E-2</v>
      </c>
      <c r="G104" s="363">
        <f t="shared" si="6"/>
        <v>0.33770340927415538</v>
      </c>
      <c r="H104" s="361">
        <f t="shared" si="7"/>
        <v>48.852052283724113</v>
      </c>
    </row>
    <row r="105" spans="1:8">
      <c r="A105" s="355">
        <v>82</v>
      </c>
      <c r="B105" s="360">
        <v>2.5000000000000001E-2</v>
      </c>
      <c r="C105" s="363">
        <f t="shared" si="4"/>
        <v>7.9258771534826286E-2</v>
      </c>
      <c r="D105" s="361">
        <f t="shared" si="5"/>
        <v>28.725733387224473</v>
      </c>
      <c r="E105" s="361"/>
      <c r="F105" s="362">
        <v>1.0710000000000001E-2</v>
      </c>
      <c r="G105" s="363">
        <f t="shared" si="6"/>
        <v>0.33412493126035697</v>
      </c>
      <c r="H105" s="361">
        <f t="shared" si="7"/>
        <v>49.186177214984468</v>
      </c>
    </row>
    <row r="106" spans="1:8">
      <c r="A106" s="355">
        <v>83</v>
      </c>
      <c r="B106" s="360">
        <v>2.5000000000000001E-2</v>
      </c>
      <c r="C106" s="363">
        <f t="shared" si="4"/>
        <v>7.7325630765684189E-2</v>
      </c>
      <c r="D106" s="361">
        <f t="shared" si="5"/>
        <v>28.803059017990158</v>
      </c>
      <c r="E106" s="361"/>
      <c r="F106" s="362">
        <v>1.0710000000000001E-2</v>
      </c>
      <c r="G106" s="363">
        <f t="shared" si="6"/>
        <v>0.33058437262949508</v>
      </c>
      <c r="H106" s="361">
        <f t="shared" si="7"/>
        <v>49.516761587613964</v>
      </c>
    </row>
    <row r="107" spans="1:8">
      <c r="A107" s="355">
        <v>84</v>
      </c>
      <c r="B107" s="360">
        <v>2.5000000000000001E-2</v>
      </c>
      <c r="C107" s="363">
        <f t="shared" si="4"/>
        <v>7.5439639771399211E-2</v>
      </c>
      <c r="D107" s="361">
        <f t="shared" si="5"/>
        <v>28.878498657761558</v>
      </c>
      <c r="E107" s="361"/>
      <c r="F107" s="362">
        <v>1.0710000000000001E-2</v>
      </c>
      <c r="G107" s="363">
        <f t="shared" si="6"/>
        <v>0.32708133156839753</v>
      </c>
      <c r="H107" s="361">
        <f t="shared" si="7"/>
        <v>49.843842919182364</v>
      </c>
    </row>
    <row r="108" spans="1:8">
      <c r="A108" s="355">
        <v>85</v>
      </c>
      <c r="B108" s="360">
        <v>2.5000000000000001E-2</v>
      </c>
      <c r="C108" s="363">
        <f t="shared" si="4"/>
        <v>7.3599648557462649E-2</v>
      </c>
      <c r="D108" s="361">
        <f t="shared" si="5"/>
        <v>28.952098306319019</v>
      </c>
      <c r="E108" s="361"/>
      <c r="F108" s="362">
        <v>1.0710000000000001E-2</v>
      </c>
      <c r="G108" s="363">
        <f t="shared" si="6"/>
        <v>0.32361541052171</v>
      </c>
      <c r="H108" s="361">
        <f t="shared" si="7"/>
        <v>50.167458329704075</v>
      </c>
    </row>
    <row r="109" spans="1:8">
      <c r="A109" s="355">
        <v>86</v>
      </c>
      <c r="B109" s="360">
        <v>2.5000000000000001E-2</v>
      </c>
      <c r="C109" s="363">
        <f t="shared" si="4"/>
        <v>7.1804535178012344E-2</v>
      </c>
      <c r="D109" s="361">
        <f t="shared" si="5"/>
        <v>29.023902841497033</v>
      </c>
      <c r="E109" s="361"/>
      <c r="F109" s="362">
        <v>1.0710000000000001E-2</v>
      </c>
      <c r="G109" s="363">
        <f t="shared" si="6"/>
        <v>0.320186216146778</v>
      </c>
      <c r="H109" s="361">
        <f t="shared" si="7"/>
        <v>50.487644545850856</v>
      </c>
    </row>
    <row r="110" spans="1:8">
      <c r="A110" s="355">
        <v>87</v>
      </c>
      <c r="B110" s="360">
        <v>2.5000000000000001E-2</v>
      </c>
      <c r="C110" s="363">
        <f t="shared" si="4"/>
        <v>7.0053205051719372E-2</v>
      </c>
      <c r="D110" s="361">
        <f t="shared" si="5"/>
        <v>29.093956046548755</v>
      </c>
      <c r="E110" s="361"/>
      <c r="F110" s="362">
        <v>1.0710000000000001E-2</v>
      </c>
      <c r="G110" s="363">
        <f t="shared" si="6"/>
        <v>0.31679335926900692</v>
      </c>
      <c r="H110" s="361">
        <f t="shared" si="7"/>
        <v>50.804437905119862</v>
      </c>
    </row>
    <row r="111" spans="1:8">
      <c r="A111" s="355">
        <v>88</v>
      </c>
      <c r="B111" s="360">
        <v>2.5000000000000001E-2</v>
      </c>
      <c r="C111" s="363">
        <f t="shared" si="4"/>
        <v>6.8344590294360366E-2</v>
      </c>
      <c r="D111" s="361">
        <f t="shared" si="5"/>
        <v>29.162300636843113</v>
      </c>
      <c r="E111" s="361"/>
      <c r="F111" s="362">
        <v>1.0710000000000001E-2</v>
      </c>
      <c r="G111" s="363">
        <f t="shared" si="6"/>
        <v>0.31343645483769522</v>
      </c>
      <c r="H111" s="361">
        <f t="shared" si="7"/>
        <v>51.117874359957554</v>
      </c>
    </row>
    <row r="112" spans="1:8">
      <c r="A112" s="355">
        <v>89</v>
      </c>
      <c r="B112" s="360">
        <v>2.5000000000000001E-2</v>
      </c>
      <c r="C112" s="363">
        <f t="shared" si="4"/>
        <v>6.6677649067668654E-2</v>
      </c>
      <c r="D112" s="361">
        <f t="shared" si="5"/>
        <v>29.228978285910781</v>
      </c>
      <c r="E112" s="361"/>
      <c r="F112" s="362">
        <v>1.0710000000000001E-2</v>
      </c>
      <c r="G112" s="363">
        <f t="shared" si="6"/>
        <v>0.31011512188233542</v>
      </c>
      <c r="H112" s="361">
        <f t="shared" si="7"/>
        <v>51.427989481839887</v>
      </c>
    </row>
    <row r="113" spans="1:8">
      <c r="A113" s="355">
        <v>90</v>
      </c>
      <c r="B113" s="360">
        <v>2.5000000000000001E-2</v>
      </c>
      <c r="C113" s="363">
        <f t="shared" si="4"/>
        <v>6.5051364944066992E-2</v>
      </c>
      <c r="D113" s="361">
        <f t="shared" si="5"/>
        <v>29.294029650854849</v>
      </c>
      <c r="E113" s="361"/>
      <c r="F113" s="362">
        <v>1.0710000000000001E-2</v>
      </c>
      <c r="G113" s="363">
        <f t="shared" si="6"/>
        <v>0.30682898346937837</v>
      </c>
      <c r="H113" s="361">
        <f t="shared" si="7"/>
        <v>51.734818465309267</v>
      </c>
    </row>
    <row r="114" spans="1:8">
      <c r="A114" s="355">
        <v>91</v>
      </c>
      <c r="B114" s="360">
        <v>2.5000000000000001E-2</v>
      </c>
      <c r="C114" s="363">
        <f t="shared" si="4"/>
        <v>6.3464746286894635E-2</v>
      </c>
      <c r="D114" s="361">
        <f t="shared" si="5"/>
        <v>29.357494397141743</v>
      </c>
      <c r="E114" s="361"/>
      <c r="F114" s="362">
        <v>1.0710000000000001E-2</v>
      </c>
      <c r="G114" s="363">
        <f t="shared" si="6"/>
        <v>0.30357766665945563</v>
      </c>
      <c r="H114" s="361">
        <f t="shared" si="7"/>
        <v>52.038396131968724</v>
      </c>
    </row>
    <row r="115" spans="1:8">
      <c r="A115" s="355">
        <v>92</v>
      </c>
      <c r="B115" s="360">
        <v>2.5000000000000001E-2</v>
      </c>
      <c r="C115" s="363">
        <f t="shared" si="4"/>
        <v>6.1916825645750871E-2</v>
      </c>
      <c r="D115" s="361">
        <f t="shared" si="5"/>
        <v>29.419411222787492</v>
      </c>
      <c r="E115" s="361"/>
      <c r="F115" s="362">
        <v>1.0710000000000001E-2</v>
      </c>
      <c r="G115" s="363">
        <f t="shared" si="6"/>
        <v>0.30036080246505487</v>
      </c>
      <c r="H115" s="361">
        <f t="shared" si="7"/>
        <v>52.338756934433782</v>
      </c>
    </row>
    <row r="116" spans="1:8">
      <c r="A116" s="355">
        <v>93</v>
      </c>
      <c r="B116" s="360">
        <v>2.5000000000000001E-2</v>
      </c>
      <c r="C116" s="363">
        <f t="shared" si="4"/>
        <v>6.0406659166586218E-2</v>
      </c>
      <c r="D116" s="361">
        <f t="shared" si="5"/>
        <v>29.479817881954077</v>
      </c>
      <c r="E116" s="361"/>
      <c r="F116" s="362">
        <v>1.0710000000000001E-2</v>
      </c>
      <c r="G116" s="363">
        <f t="shared" si="6"/>
        <v>0.29717802580864427</v>
      </c>
      <c r="H116" s="361">
        <f t="shared" si="7"/>
        <v>52.635934960242423</v>
      </c>
    </row>
    <row r="117" spans="1:8">
      <c r="A117" s="355">
        <v>94</v>
      </c>
      <c r="B117" s="360">
        <v>2.5000000000000001E-2</v>
      </c>
      <c r="C117" s="363">
        <f t="shared" si="4"/>
        <v>5.8933326016181682E-2</v>
      </c>
      <c r="D117" s="361">
        <f t="shared" si="5"/>
        <v>29.538751207970257</v>
      </c>
      <c r="E117" s="361"/>
      <c r="F117" s="362">
        <v>1.0710000000000001E-2</v>
      </c>
      <c r="G117" s="363">
        <f t="shared" si="6"/>
        <v>0.29402897548124018</v>
      </c>
      <c r="H117" s="361">
        <f t="shared" si="7"/>
        <v>52.929963935723663</v>
      </c>
    </row>
    <row r="118" spans="1:8">
      <c r="A118" s="355">
        <v>95</v>
      </c>
      <c r="B118" s="360">
        <v>2.5000000000000001E-2</v>
      </c>
      <c r="C118" s="363">
        <f t="shared" si="4"/>
        <v>5.7495927820665059E-2</v>
      </c>
      <c r="D118" s="361">
        <f t="shared" si="5"/>
        <v>29.596247135790922</v>
      </c>
      <c r="E118" s="361"/>
      <c r="F118" s="362">
        <v>1.0710000000000001E-2</v>
      </c>
      <c r="G118" s="363">
        <f t="shared" si="6"/>
        <v>0.29091329410141403</v>
      </c>
      <c r="H118" s="361">
        <f t="shared" si="7"/>
        <v>53.220877229825078</v>
      </c>
    </row>
    <row r="119" spans="1:8">
      <c r="A119" s="355">
        <v>96</v>
      </c>
      <c r="B119" s="360">
        <v>2.5000000000000001E-2</v>
      </c>
      <c r="C119" s="363">
        <f t="shared" si="4"/>
        <v>5.6093588117722012E-2</v>
      </c>
      <c r="D119" s="361">
        <f t="shared" si="5"/>
        <v>29.652340723908644</v>
      </c>
      <c r="E119" s="361"/>
      <c r="F119" s="362">
        <v>1.0710000000000001E-2</v>
      </c>
      <c r="G119" s="363">
        <f t="shared" si="6"/>
        <v>0.28783062807473364</v>
      </c>
      <c r="H119" s="361">
        <f t="shared" si="7"/>
        <v>53.508707857899815</v>
      </c>
    </row>
    <row r="120" spans="1:8">
      <c r="A120" s="355">
        <v>97</v>
      </c>
      <c r="B120" s="360">
        <v>2.5000000000000001E-2</v>
      </c>
      <c r="C120" s="363">
        <f t="shared" si="4"/>
        <v>5.4725451822167821E-2</v>
      </c>
      <c r="D120" s="361">
        <f t="shared" si="5"/>
        <v>29.707066175730812</v>
      </c>
      <c r="E120" s="361"/>
      <c r="F120" s="362">
        <v>1.0710000000000001E-2</v>
      </c>
      <c r="G120" s="363">
        <f t="shared" si="6"/>
        <v>0.2847806275536342</v>
      </c>
      <c r="H120" s="361">
        <f t="shared" si="7"/>
        <v>53.793488485453452</v>
      </c>
    </row>
    <row r="121" spans="1:8">
      <c r="A121" s="355">
        <v>98</v>
      </c>
      <c r="B121" s="360">
        <v>2.5000000000000001E-2</v>
      </c>
      <c r="C121" s="363">
        <f t="shared" si="4"/>
        <v>5.3390684704553978E-2</v>
      </c>
      <c r="D121" s="361">
        <f t="shared" si="5"/>
        <v>29.760456860435365</v>
      </c>
      <c r="E121" s="361"/>
      <c r="F121" s="362">
        <v>1.0710000000000001E-2</v>
      </c>
      <c r="G121" s="363">
        <f t="shared" si="6"/>
        <v>0.28176294639771465</v>
      </c>
      <c r="H121" s="361">
        <f t="shared" si="7"/>
        <v>54.075251431851164</v>
      </c>
    </row>
    <row r="122" spans="1:8">
      <c r="A122" s="355">
        <v>99</v>
      </c>
      <c r="B122" s="360">
        <v>2.5000000000000001E-2</v>
      </c>
      <c r="C122" s="363">
        <f t="shared" si="4"/>
        <v>5.2088472882491688E-2</v>
      </c>
      <c r="D122" s="361">
        <f t="shared" si="5"/>
        <v>29.812545333317857</v>
      </c>
      <c r="E122" s="361"/>
      <c r="F122" s="362">
        <v>1.0710000000000001E-2</v>
      </c>
      <c r="G122" s="363">
        <f t="shared" si="6"/>
        <v>0.27877724213445465</v>
      </c>
      <c r="H122" s="361">
        <f t="shared" si="7"/>
        <v>54.354028673985617</v>
      </c>
    </row>
    <row r="123" spans="1:8">
      <c r="A123" s="355">
        <v>100</v>
      </c>
      <c r="B123" s="360">
        <v>2.5000000000000001E-2</v>
      </c>
      <c r="C123" s="363">
        <f t="shared" si="4"/>
        <v>5.0818022324382137E-2</v>
      </c>
      <c r="D123" s="361">
        <f t="shared" si="5"/>
        <v>29.863363355642239</v>
      </c>
      <c r="E123" s="361"/>
      <c r="F123" s="362">
        <v>1.0710000000000001E-2</v>
      </c>
      <c r="G123" s="363">
        <f t="shared" si="6"/>
        <v>0.27582317592034772</v>
      </c>
      <c r="H123" s="361">
        <f t="shared" si="7"/>
        <v>54.629851849905968</v>
      </c>
    </row>
    <row r="124" spans="1:8">
      <c r="A124" s="355">
        <v>101</v>
      </c>
      <c r="B124" s="360">
        <v>2.5000000000000001E-2</v>
      </c>
      <c r="C124" s="363">
        <f t="shared" si="4"/>
        <v>4.9578558365250866E-2</v>
      </c>
      <c r="D124" s="361">
        <f t="shared" si="5"/>
        <v>29.91294191400749</v>
      </c>
      <c r="E124" s="361"/>
      <c r="F124" s="362">
        <v>1.0710000000000001E-2</v>
      </c>
      <c r="G124" s="363">
        <f t="shared" si="6"/>
        <v>0.27290041250244651</v>
      </c>
      <c r="H124" s="361">
        <f t="shared" si="7"/>
        <v>54.902752262408413</v>
      </c>
    </row>
    <row r="125" spans="1:8">
      <c r="A125" s="355">
        <v>102</v>
      </c>
      <c r="B125" s="360">
        <v>2.5000000000000001E-2</v>
      </c>
      <c r="C125" s="363">
        <f t="shared" si="4"/>
        <v>4.8369325234391095E-2</v>
      </c>
      <c r="D125" s="361">
        <f t="shared" si="5"/>
        <v>29.96131123924188</v>
      </c>
      <c r="E125" s="361"/>
      <c r="F125" s="362">
        <v>1.0710000000000001E-2</v>
      </c>
      <c r="G125" s="363">
        <f t="shared" si="6"/>
        <v>0.27000862018031535</v>
      </c>
      <c r="H125" s="361">
        <f t="shared" si="7"/>
        <v>55.172760882588726</v>
      </c>
    </row>
    <row r="126" spans="1:8">
      <c r="A126" s="355">
        <v>103</v>
      </c>
      <c r="B126" s="360">
        <v>2.5000000000000001E-2</v>
      </c>
      <c r="C126" s="363">
        <f t="shared" si="4"/>
        <v>4.7189585594527898E-2</v>
      </c>
      <c r="D126" s="361">
        <f t="shared" si="5"/>
        <v>30.008500824836407</v>
      </c>
      <c r="E126" s="361"/>
      <c r="F126" s="362">
        <v>1.0710000000000001E-2</v>
      </c>
      <c r="G126" s="363">
        <f t="shared" si="6"/>
        <v>0.26714747076838596</v>
      </c>
      <c r="H126" s="361">
        <f t="shared" si="7"/>
        <v>55.439908353357112</v>
      </c>
    </row>
    <row r="127" spans="1:8">
      <c r="A127" s="355">
        <v>104</v>
      </c>
      <c r="B127" s="360">
        <v>2.5000000000000001E-2</v>
      </c>
      <c r="C127" s="363">
        <f t="shared" si="4"/>
        <v>4.6038620092222343E-2</v>
      </c>
      <c r="D127" s="361">
        <f t="shared" si="5"/>
        <v>30.054539444928629</v>
      </c>
      <c r="E127" s="361"/>
      <c r="F127" s="362">
        <v>1.0710000000000001E-2</v>
      </c>
      <c r="G127" s="363">
        <f t="shared" si="6"/>
        <v>0.26431663955871215</v>
      </c>
      <c r="H127" s="361">
        <f t="shared" si="7"/>
        <v>55.704224992915826</v>
      </c>
    </row>
    <row r="128" spans="1:8">
      <c r="A128" s="355">
        <v>105</v>
      </c>
      <c r="B128" s="360">
        <v>2.5000000000000001E-2</v>
      </c>
      <c r="C128" s="363">
        <f t="shared" si="4"/>
        <v>4.4915726919241311E-2</v>
      </c>
      <c r="D128" s="361">
        <f t="shared" si="5"/>
        <v>30.099455171847872</v>
      </c>
      <c r="E128" s="361"/>
      <c r="F128" s="362">
        <v>1.0710000000000001E-2</v>
      </c>
      <c r="G128" s="363">
        <f t="shared" si="6"/>
        <v>0.26151580528411922</v>
      </c>
      <c r="H128" s="361">
        <f t="shared" si="7"/>
        <v>55.965740798199946</v>
      </c>
    </row>
    <row r="129" spans="1:8">
      <c r="A129" s="355">
        <v>106</v>
      </c>
      <c r="B129" s="360">
        <v>2.5000000000000001E-2</v>
      </c>
      <c r="C129" s="363">
        <f t="shared" si="4"/>
        <v>4.3820221384625671E-2</v>
      </c>
      <c r="D129" s="361">
        <f t="shared" si="5"/>
        <v>30.143275393232496</v>
      </c>
      <c r="E129" s="361"/>
      <c r="F129" s="362">
        <v>1.0710000000000001E-2</v>
      </c>
      <c r="G129" s="363">
        <f t="shared" si="6"/>
        <v>0.25874465008174374</v>
      </c>
      <c r="H129" s="361">
        <f t="shared" si="7"/>
        <v>56.22448544828169</v>
      </c>
    </row>
    <row r="130" spans="1:8">
      <c r="A130" s="355">
        <v>107</v>
      </c>
      <c r="B130" s="360">
        <v>2.5000000000000001E-2</v>
      </c>
      <c r="C130" s="363">
        <f t="shared" si="4"/>
        <v>4.2751435497195782E-2</v>
      </c>
      <c r="D130" s="361">
        <f t="shared" si="5"/>
        <v>30.186026828729691</v>
      </c>
      <c r="E130" s="361"/>
      <c r="F130" s="362">
        <v>1.0710000000000001E-2</v>
      </c>
      <c r="G130" s="363">
        <f t="shared" si="6"/>
        <v>0.25600285945695972</v>
      </c>
      <c r="H130" s="361">
        <f t="shared" si="7"/>
        <v>56.480488307738653</v>
      </c>
    </row>
    <row r="131" spans="1:8">
      <c r="A131" s="355">
        <v>108</v>
      </c>
      <c r="B131" s="360">
        <v>2.5000000000000001E-2</v>
      </c>
      <c r="C131" s="363">
        <f t="shared" si="4"/>
        <v>4.1708717558239794E-2</v>
      </c>
      <c r="D131" s="361">
        <f t="shared" si="5"/>
        <v>30.227735546287931</v>
      </c>
      <c r="E131" s="361"/>
      <c r="F131" s="362">
        <v>1.0710000000000001E-2</v>
      </c>
      <c r="G131" s="363">
        <f t="shared" si="6"/>
        <v>0.25329012224768699</v>
      </c>
      <c r="H131" s="361">
        <f t="shared" si="7"/>
        <v>56.733778429986337</v>
      </c>
    </row>
    <row r="132" spans="1:8">
      <c r="A132" s="355">
        <v>109</v>
      </c>
      <c r="B132" s="360">
        <v>2.5000000000000001E-2</v>
      </c>
      <c r="C132" s="363">
        <f t="shared" si="4"/>
        <v>4.0691431764136386E-2</v>
      </c>
      <c r="D132" s="361">
        <f t="shared" si="5"/>
        <v>30.268426978052069</v>
      </c>
      <c r="E132" s="361"/>
      <c r="F132" s="362">
        <v>1.0710000000000001E-2</v>
      </c>
      <c r="G132" s="363">
        <f t="shared" si="6"/>
        <v>0.25060613058907799</v>
      </c>
      <c r="H132" s="361">
        <f t="shared" si="7"/>
        <v>56.984384560575414</v>
      </c>
    </row>
    <row r="133" spans="1:8">
      <c r="A133" s="355">
        <v>110</v>
      </c>
      <c r="B133" s="360">
        <v>2.5000000000000001E-2</v>
      </c>
      <c r="C133" s="363">
        <f t="shared" si="4"/>
        <v>3.9698957818669646E-2</v>
      </c>
      <c r="D133" s="361">
        <f t="shared" si="5"/>
        <v>30.308125935870738</v>
      </c>
      <c r="E133" s="361"/>
      <c r="F133" s="362">
        <v>1.0710000000000001E-2</v>
      </c>
      <c r="G133" s="363">
        <f t="shared" si="6"/>
        <v>0.24795057987857841</v>
      </c>
      <c r="H133" s="361">
        <f t="shared" si="7"/>
        <v>57.232335140453991</v>
      </c>
    </row>
    <row r="134" spans="1:8">
      <c r="A134" s="355">
        <v>111</v>
      </c>
      <c r="B134" s="360">
        <v>2.5000000000000001E-2</v>
      </c>
      <c r="C134" s="363">
        <f t="shared" si="4"/>
        <v>3.8730690554799656E-2</v>
      </c>
      <c r="D134" s="361">
        <f t="shared" si="5"/>
        <v>30.346856626425538</v>
      </c>
      <c r="E134" s="361"/>
      <c r="F134" s="362">
        <v>1.0710000000000001E-2</v>
      </c>
      <c r="G134" s="363">
        <f t="shared" si="6"/>
        <v>0.24532316874135845</v>
      </c>
      <c r="H134" s="361">
        <f t="shared" si="7"/>
        <v>57.477658309195348</v>
      </c>
    </row>
    <row r="135" spans="1:8">
      <c r="A135" s="355">
        <v>112</v>
      </c>
      <c r="B135" s="360">
        <v>2.5000000000000001E-2</v>
      </c>
      <c r="C135" s="363">
        <f t="shared" si="4"/>
        <v>3.7786039565658201E-2</v>
      </c>
      <c r="D135" s="361">
        <f t="shared" si="5"/>
        <v>30.384642665991198</v>
      </c>
      <c r="E135" s="361"/>
      <c r="F135" s="362">
        <v>1.0710000000000001E-2</v>
      </c>
      <c r="G135" s="363">
        <f t="shared" si="6"/>
        <v>0.24272359899611012</v>
      </c>
      <c r="H135" s="361">
        <f t="shared" si="7"/>
        <v>57.720381908191456</v>
      </c>
    </row>
    <row r="136" spans="1:8">
      <c r="A136" s="355">
        <v>113</v>
      </c>
      <c r="B136" s="360">
        <v>2.5000000000000001E-2</v>
      </c>
      <c r="C136" s="363">
        <f t="shared" si="4"/>
        <v>3.6864428844544592E-2</v>
      </c>
      <c r="D136" s="361">
        <f t="shared" si="5"/>
        <v>30.421507094835743</v>
      </c>
      <c r="E136" s="361"/>
      <c r="F136" s="362">
        <v>1.0710000000000001E-2</v>
      </c>
      <c r="G136" s="363">
        <f t="shared" si="6"/>
        <v>0.24015157562120701</v>
      </c>
      <c r="H136" s="361">
        <f t="shared" si="7"/>
        <v>57.960533483812661</v>
      </c>
    </row>
    <row r="137" spans="1:8">
      <c r="A137" s="355">
        <v>114</v>
      </c>
      <c r="B137" s="360">
        <v>2.5000000000000001E-2</v>
      </c>
      <c r="C137" s="363">
        <f t="shared" si="4"/>
        <v>3.596529643370204E-2</v>
      </c>
      <c r="D137" s="361">
        <f t="shared" si="5"/>
        <v>30.457472391269445</v>
      </c>
      <c r="E137" s="361"/>
      <c r="F137" s="362">
        <v>1.0710000000000001E-2</v>
      </c>
      <c r="G137" s="363">
        <f t="shared" si="6"/>
        <v>0.23760680672122272</v>
      </c>
      <c r="H137" s="361">
        <f t="shared" si="7"/>
        <v>58.198140290533885</v>
      </c>
    </row>
    <row r="138" spans="1:8">
      <c r="A138" s="355">
        <v>115</v>
      </c>
      <c r="B138" s="360">
        <v>2.5000000000000001E-2</v>
      </c>
      <c r="C138" s="363">
        <f t="shared" si="4"/>
        <v>3.5088094081660533E-2</v>
      </c>
      <c r="D138" s="361">
        <f t="shared" si="5"/>
        <v>30.492560485351106</v>
      </c>
      <c r="E138" s="361"/>
      <c r="F138" s="362">
        <v>1.0710000000000001E-2</v>
      </c>
      <c r="G138" s="363">
        <f t="shared" si="6"/>
        <v>0.23508900349380407</v>
      </c>
      <c r="H138" s="361">
        <f t="shared" si="7"/>
        <v>58.43322929402769</v>
      </c>
    </row>
    <row r="139" spans="1:8">
      <c r="A139" s="355">
        <v>116</v>
      </c>
      <c r="B139" s="360">
        <v>2.5000000000000001E-2</v>
      </c>
      <c r="C139" s="363">
        <f t="shared" si="4"/>
        <v>3.4232286908937107E-2</v>
      </c>
      <c r="D139" s="361">
        <f t="shared" si="5"/>
        <v>30.526792772260045</v>
      </c>
      <c r="E139" s="361"/>
      <c r="F139" s="362">
        <v>1.0710000000000001E-2</v>
      </c>
      <c r="G139" s="363">
        <f t="shared" si="6"/>
        <v>0.23259788019689531</v>
      </c>
      <c r="H139" s="361">
        <f t="shared" si="7"/>
        <v>58.665827174224589</v>
      </c>
    </row>
    <row r="140" spans="1:8">
      <c r="A140" s="355">
        <v>117</v>
      </c>
      <c r="B140" s="360">
        <v>2.5000000000000001E-2</v>
      </c>
      <c r="C140" s="363">
        <f t="shared" si="4"/>
        <v>3.3397353081889861E-2</v>
      </c>
      <c r="D140" s="361">
        <f t="shared" si="5"/>
        <v>30.560190125341936</v>
      </c>
      <c r="E140" s="361"/>
      <c r="F140" s="362">
        <v>1.0710000000000001E-2</v>
      </c>
      <c r="G140" s="363">
        <f t="shared" si="6"/>
        <v>0.23013315411630964</v>
      </c>
      <c r="H140" s="361">
        <f t="shared" si="7"/>
        <v>58.895960328340898</v>
      </c>
    </row>
    <row r="141" spans="1:8">
      <c r="A141" s="355">
        <v>118</v>
      </c>
      <c r="B141" s="360">
        <v>2.5000000000000001E-2</v>
      </c>
      <c r="C141" s="363">
        <f t="shared" si="4"/>
        <v>3.2582783494526694E-2</v>
      </c>
      <c r="D141" s="361">
        <f t="shared" si="5"/>
        <v>30.592772908836462</v>
      </c>
      <c r="E141" s="361"/>
      <c r="F141" s="362">
        <v>1.0710000000000001E-2</v>
      </c>
      <c r="G141" s="363">
        <f t="shared" si="6"/>
        <v>0.22769454553364429</v>
      </c>
      <c r="H141" s="361">
        <f t="shared" si="7"/>
        <v>59.123654873874543</v>
      </c>
    </row>
    <row r="142" spans="1:8">
      <c r="A142" s="355">
        <v>119</v>
      </c>
      <c r="B142" s="360">
        <v>2.5000000000000001E-2</v>
      </c>
      <c r="C142" s="363">
        <f t="shared" si="4"/>
        <v>3.1788081458074824E-2</v>
      </c>
      <c r="D142" s="361">
        <f t="shared" si="5"/>
        <v>30.624560990294537</v>
      </c>
      <c r="E142" s="361"/>
      <c r="F142" s="362">
        <v>1.0710000000000001E-2</v>
      </c>
      <c r="G142" s="363">
        <f t="shared" si="6"/>
        <v>0.22528177769453581</v>
      </c>
      <c r="H142" s="361">
        <f t="shared" si="7"/>
        <v>59.348936651569076</v>
      </c>
    </row>
    <row r="143" spans="1:8">
      <c r="A143" s="355">
        <v>120</v>
      </c>
      <c r="B143" s="360">
        <v>2.5000000000000001E-2</v>
      </c>
      <c r="C143" s="363">
        <f t="shared" si="4"/>
        <v>3.1012762398121781E-2</v>
      </c>
      <c r="D143" s="361">
        <f t="shared" si="5"/>
        <v>30.655573752692657</v>
      </c>
      <c r="E143" s="361"/>
      <c r="F143" s="362">
        <v>1.0710000000000001E-2</v>
      </c>
      <c r="G143" s="363">
        <f t="shared" si="6"/>
        <v>0.22289457677725144</v>
      </c>
      <c r="H143" s="361">
        <f t="shared" si="7"/>
        <v>59.571831228346326</v>
      </c>
    </row>
    <row r="144" spans="1:8">
      <c r="A144" s="355">
        <v>121</v>
      </c>
      <c r="B144" s="360">
        <v>2.5000000000000001E-2</v>
      </c>
      <c r="C144" s="363">
        <f t="shared" si="4"/>
        <v>3.0256353559143204E-2</v>
      </c>
      <c r="D144" s="361">
        <f t="shared" si="5"/>
        <v>30.6858301062518</v>
      </c>
      <c r="E144" s="361"/>
      <c r="F144" s="362">
        <v>1.0710000000000001E-2</v>
      </c>
      <c r="G144" s="363">
        <f t="shared" si="6"/>
        <v>0.22053267186161357</v>
      </c>
      <c r="H144" s="361">
        <f t="shared" si="7"/>
        <v>59.792363900207938</v>
      </c>
    </row>
    <row r="145" spans="1:8">
      <c r="A145" s="355">
        <v>122</v>
      </c>
      <c r="B145" s="360">
        <v>2.5000000000000001E-2</v>
      </c>
      <c r="C145" s="363">
        <f t="shared" si="4"/>
        <v>2.9518393716237275E-2</v>
      </c>
      <c r="D145" s="361">
        <f t="shared" si="5"/>
        <v>30.715348499968037</v>
      </c>
      <c r="E145" s="361"/>
      <c r="F145" s="362">
        <v>1.0710000000000001E-2</v>
      </c>
      <c r="G145" s="363">
        <f t="shared" si="6"/>
        <v>0.21819579489825328</v>
      </c>
      <c r="H145" s="361">
        <f t="shared" si="7"/>
        <v>60.010559695106188</v>
      </c>
    </row>
    <row r="146" spans="1:8">
      <c r="A146" s="355">
        <v>123</v>
      </c>
      <c r="B146" s="360">
        <v>2.5000000000000001E-2</v>
      </c>
      <c r="C146" s="363">
        <f t="shared" si="4"/>
        <v>2.8798432893890027E-2</v>
      </c>
      <c r="D146" s="361">
        <f t="shared" si="5"/>
        <v>30.744146932861927</v>
      </c>
      <c r="E146" s="361"/>
      <c r="F146" s="362">
        <v>1.0710000000000001E-2</v>
      </c>
      <c r="G146" s="363">
        <f t="shared" si="6"/>
        <v>0.21588368067818986</v>
      </c>
      <c r="H146" s="361">
        <f t="shared" si="7"/>
        <v>60.226443375784378</v>
      </c>
    </row>
    <row r="147" spans="1:8">
      <c r="A147" s="355">
        <v>124</v>
      </c>
      <c r="B147" s="360">
        <v>2.5000000000000001E-2</v>
      </c>
      <c r="C147" s="363">
        <f t="shared" si="4"/>
        <v>2.809603209160003E-2</v>
      </c>
      <c r="D147" s="361">
        <f t="shared" si="5"/>
        <v>30.772242964953527</v>
      </c>
      <c r="E147" s="361"/>
      <c r="F147" s="362">
        <v>1.0710000000000001E-2</v>
      </c>
      <c r="G147" s="363">
        <f t="shared" si="6"/>
        <v>0.2135960668027326</v>
      </c>
      <c r="H147" s="361">
        <f t="shared" si="7"/>
        <v>60.440039442587107</v>
      </c>
    </row>
    <row r="148" spans="1:8">
      <c r="A148" s="355">
        <v>125</v>
      </c>
      <c r="B148" s="360">
        <v>2.5000000000000001E-2</v>
      </c>
      <c r="C148" s="363">
        <f t="shared" si="4"/>
        <v>2.7410763016195154E-2</v>
      </c>
      <c r="D148" s="361">
        <f t="shared" si="5"/>
        <v>30.799653727969723</v>
      </c>
      <c r="E148" s="361"/>
      <c r="F148" s="362">
        <v>1.0710000000000001E-2</v>
      </c>
      <c r="G148" s="363">
        <f t="shared" si="6"/>
        <v>0.21133269365370147</v>
      </c>
      <c r="H148" s="361">
        <f t="shared" si="7"/>
        <v>60.651372136240809</v>
      </c>
    </row>
    <row r="149" spans="1:8">
      <c r="A149" s="355">
        <v>126</v>
      </c>
      <c r="B149" s="360">
        <v>2.5000000000000001E-2</v>
      </c>
      <c r="C149" s="363">
        <f t="shared" si="4"/>
        <v>2.6742207820678203E-2</v>
      </c>
      <c r="D149" s="361">
        <f t="shared" si="5"/>
        <v>30.826395935790401</v>
      </c>
      <c r="E149" s="361"/>
      <c r="F149" s="362">
        <v>1.0710000000000001E-2</v>
      </c>
      <c r="G149" s="363">
        <f t="shared" si="6"/>
        <v>0.20909330436396342</v>
      </c>
      <c r="H149" s="361">
        <f t="shared" si="7"/>
        <v>60.86046544060477</v>
      </c>
    </row>
    <row r="150" spans="1:8">
      <c r="A150" s="355">
        <v>127</v>
      </c>
      <c r="B150" s="360">
        <v>2.5000000000000001E-2</v>
      </c>
      <c r="C150" s="363">
        <f t="shared" si="4"/>
        <v>2.6089958849442152E-2</v>
      </c>
      <c r="D150" s="361">
        <f t="shared" si="5"/>
        <v>30.852485894639845</v>
      </c>
      <c r="E150" s="361"/>
      <c r="F150" s="362">
        <v>1.0710000000000001E-2</v>
      </c>
      <c r="G150" s="363">
        <f t="shared" si="6"/>
        <v>0.20687764478828094</v>
      </c>
      <c r="H150" s="361">
        <f t="shared" si="7"/>
        <v>61.067343085393048</v>
      </c>
    </row>
    <row r="151" spans="1:8">
      <c r="A151" s="355">
        <v>128</v>
      </c>
      <c r="B151" s="360">
        <v>2.5000000000000001E-2</v>
      </c>
      <c r="C151" s="363">
        <f t="shared" si="4"/>
        <v>2.5453618389699662E-2</v>
      </c>
      <c r="D151" s="361">
        <f t="shared" si="5"/>
        <v>30.877939513029546</v>
      </c>
      <c r="E151" s="361"/>
      <c r="F151" s="362">
        <v>1.0710000000000001E-2</v>
      </c>
      <c r="G151" s="363">
        <f t="shared" si="6"/>
        <v>0.20468546347446936</v>
      </c>
      <c r="H151" s="361">
        <f t="shared" si="7"/>
        <v>61.272028548867517</v>
      </c>
    </row>
    <row r="152" spans="1:8">
      <c r="A152" s="355">
        <v>129</v>
      </c>
      <c r="B152" s="360">
        <v>2.5000000000000001E-2</v>
      </c>
      <c r="C152" s="363">
        <f t="shared" si="4"/>
        <v>2.4832798428975282E-2</v>
      </c>
      <c r="D152" s="361">
        <f t="shared" si="5"/>
        <v>30.90277231145852</v>
      </c>
      <c r="E152" s="361"/>
      <c r="F152" s="362">
        <v>1.0710000000000001E-2</v>
      </c>
      <c r="G152" s="363">
        <f t="shared" si="6"/>
        <v>0.20251651163486001</v>
      </c>
      <c r="H152" s="361">
        <f t="shared" si="7"/>
        <v>61.474545060502379</v>
      </c>
    </row>
    <row r="153" spans="1:8">
      <c r="A153" s="355">
        <v>130</v>
      </c>
      <c r="B153" s="360">
        <v>2.5000000000000001E-2</v>
      </c>
      <c r="C153" s="363">
        <f t="shared" ref="C153:C216" si="8">C152/(1+B153)</f>
        <v>2.4227120418512472E-2</v>
      </c>
      <c r="D153" s="361">
        <f t="shared" ref="D153:D216" si="9">D152+C153</f>
        <v>30.926999431877032</v>
      </c>
      <c r="E153" s="361"/>
      <c r="F153" s="362">
        <v>1.0710000000000001E-2</v>
      </c>
      <c r="G153" s="363">
        <f t="shared" ref="G153:G216" si="10">G152/(1+F153)</f>
        <v>0.20037054311806551</v>
      </c>
      <c r="H153" s="361">
        <f t="shared" ref="H153:H216" si="11">H152+G153</f>
        <v>61.674915603620441</v>
      </c>
    </row>
    <row r="154" spans="1:8">
      <c r="A154" s="355">
        <v>131</v>
      </c>
      <c r="B154" s="360">
        <v>2.5000000000000001E-2</v>
      </c>
      <c r="C154" s="363">
        <f t="shared" si="8"/>
        <v>2.3636215042451194E-2</v>
      </c>
      <c r="D154" s="361">
        <f t="shared" si="9"/>
        <v>30.950635646919483</v>
      </c>
      <c r="E154" s="361"/>
      <c r="F154" s="362">
        <v>1.0710000000000001E-2</v>
      </c>
      <c r="G154" s="363">
        <f t="shared" si="10"/>
        <v>0.19824731438104454</v>
      </c>
      <c r="H154" s="361">
        <f t="shared" si="11"/>
        <v>61.873162918001483</v>
      </c>
    </row>
    <row r="155" spans="1:8">
      <c r="A155" s="355">
        <v>132</v>
      </c>
      <c r="B155" s="360">
        <v>2.5000000000000001E-2</v>
      </c>
      <c r="C155" s="363">
        <f t="shared" si="8"/>
        <v>2.3059721992635313E-2</v>
      </c>
      <c r="D155" s="361">
        <f t="shared" si="9"/>
        <v>30.973695368912118</v>
      </c>
      <c r="E155" s="361"/>
      <c r="F155" s="362">
        <v>1.0710000000000001E-2</v>
      </c>
      <c r="G155" s="363">
        <f t="shared" si="10"/>
        <v>0.19614658446146227</v>
      </c>
      <c r="H155" s="361">
        <f t="shared" si="11"/>
        <v>62.069309502462943</v>
      </c>
    </row>
    <row r="156" spans="1:8">
      <c r="A156" s="355">
        <v>133</v>
      </c>
      <c r="B156" s="360">
        <v>2.5000000000000001E-2</v>
      </c>
      <c r="C156" s="363">
        <f t="shared" si="8"/>
        <v>2.2497289748912502E-2</v>
      </c>
      <c r="D156" s="361">
        <f t="shared" si="9"/>
        <v>30.99619265866103</v>
      </c>
      <c r="E156" s="361"/>
      <c r="F156" s="362">
        <v>1.0710000000000001E-2</v>
      </c>
      <c r="G156" s="363">
        <f t="shared" si="10"/>
        <v>0.19406811495034409</v>
      </c>
      <c r="H156" s="361">
        <f t="shared" si="11"/>
        <v>62.26337761741329</v>
      </c>
    </row>
    <row r="157" spans="1:8">
      <c r="A157" s="355">
        <v>134</v>
      </c>
      <c r="B157" s="360">
        <v>2.5000000000000001E-2</v>
      </c>
      <c r="C157" s="363">
        <f t="shared" si="8"/>
        <v>2.1948575364792687E-2</v>
      </c>
      <c r="D157" s="361">
        <f t="shared" si="9"/>
        <v>31.018141234025823</v>
      </c>
      <c r="E157" s="361"/>
      <c r="F157" s="362">
        <v>1.0710000000000001E-2</v>
      </c>
      <c r="G157" s="363">
        <f t="shared" si="10"/>
        <v>0.19201166996501876</v>
      </c>
      <c r="H157" s="361">
        <f t="shared" si="11"/>
        <v>62.45538928737831</v>
      </c>
    </row>
    <row r="158" spans="1:8">
      <c r="A158" s="355">
        <v>135</v>
      </c>
      <c r="B158" s="360">
        <v>2.5000000000000001E-2</v>
      </c>
      <c r="C158" s="363">
        <f t="shared" si="8"/>
        <v>2.1413244258334331E-2</v>
      </c>
      <c r="D158" s="361">
        <f t="shared" si="9"/>
        <v>31.039554478284156</v>
      </c>
      <c r="E158" s="361"/>
      <c r="F158" s="362">
        <v>1.0710000000000001E-2</v>
      </c>
      <c r="G158" s="363">
        <f t="shared" si="10"/>
        <v>0.18997701612234841</v>
      </c>
      <c r="H158" s="361">
        <f t="shared" si="11"/>
        <v>62.645366303500658</v>
      </c>
    </row>
    <row r="159" spans="1:8">
      <c r="A159" s="355">
        <v>136</v>
      </c>
      <c r="B159" s="360">
        <v>2.5000000000000001E-2</v>
      </c>
      <c r="C159" s="363">
        <f t="shared" si="8"/>
        <v>2.0890970008131057E-2</v>
      </c>
      <c r="D159" s="361">
        <f t="shared" si="9"/>
        <v>31.060445448292288</v>
      </c>
      <c r="E159" s="361"/>
      <c r="F159" s="362">
        <v>1.0710000000000001E-2</v>
      </c>
      <c r="G159" s="363">
        <f t="shared" si="10"/>
        <v>0.18796392251224228</v>
      </c>
      <c r="H159" s="361">
        <f t="shared" si="11"/>
        <v>62.833330226012897</v>
      </c>
    </row>
    <row r="160" spans="1:8">
      <c r="A160" s="355">
        <v>137</v>
      </c>
      <c r="B160" s="360">
        <v>2.5000000000000001E-2</v>
      </c>
      <c r="C160" s="363">
        <f t="shared" si="8"/>
        <v>2.0381434154274205E-2</v>
      </c>
      <c r="D160" s="361">
        <f t="shared" si="9"/>
        <v>31.080826882446562</v>
      </c>
      <c r="E160" s="361"/>
      <c r="F160" s="362">
        <v>1.0710000000000001E-2</v>
      </c>
      <c r="G160" s="363">
        <f t="shared" si="10"/>
        <v>0.18597216067145103</v>
      </c>
      <c r="H160" s="361">
        <f t="shared" si="11"/>
        <v>63.019302386684352</v>
      </c>
    </row>
    <row r="161" spans="1:8">
      <c r="A161" s="355">
        <v>138</v>
      </c>
      <c r="B161" s="360">
        <v>2.5000000000000001E-2</v>
      </c>
      <c r="C161" s="363">
        <f t="shared" si="8"/>
        <v>1.9884326004169957E-2</v>
      </c>
      <c r="D161" s="361">
        <f t="shared" si="9"/>
        <v>31.100711208450733</v>
      </c>
      <c r="E161" s="361"/>
      <c r="F161" s="362">
        <v>1.0710000000000001E-2</v>
      </c>
      <c r="G161" s="363">
        <f t="shared" si="10"/>
        <v>0.18400150455763872</v>
      </c>
      <c r="H161" s="361">
        <f t="shared" si="11"/>
        <v>63.203303891241994</v>
      </c>
    </row>
    <row r="162" spans="1:8">
      <c r="A162" s="355">
        <v>139</v>
      </c>
      <c r="B162" s="360">
        <v>2.5000000000000001E-2</v>
      </c>
      <c r="C162" s="363">
        <f t="shared" si="8"/>
        <v>1.9399342443092642E-2</v>
      </c>
      <c r="D162" s="361">
        <f t="shared" si="9"/>
        <v>31.120110550893827</v>
      </c>
      <c r="E162" s="361"/>
      <c r="F162" s="362">
        <v>1.0710000000000001E-2</v>
      </c>
      <c r="G162" s="363">
        <f t="shared" si="10"/>
        <v>0.18205173052372958</v>
      </c>
      <c r="H162" s="361">
        <f t="shared" si="11"/>
        <v>63.385355621765726</v>
      </c>
    </row>
    <row r="163" spans="1:8">
      <c r="A163" s="355">
        <v>140</v>
      </c>
      <c r="B163" s="360">
        <v>2.5000000000000001E-2</v>
      </c>
      <c r="C163" s="363">
        <f t="shared" si="8"/>
        <v>1.8926187749358676E-2</v>
      </c>
      <c r="D163" s="361">
        <f t="shared" si="9"/>
        <v>31.139036738643185</v>
      </c>
      <c r="E163" s="361"/>
      <c r="F163" s="362">
        <v>1.0710000000000001E-2</v>
      </c>
      <c r="G163" s="363">
        <f t="shared" si="10"/>
        <v>0.18012261729252663</v>
      </c>
      <c r="H163" s="361">
        <f t="shared" si="11"/>
        <v>63.565478239058251</v>
      </c>
    </row>
    <row r="164" spans="1:8">
      <c r="A164" s="355">
        <v>141</v>
      </c>
      <c r="B164" s="360">
        <v>2.5000000000000001E-2</v>
      </c>
      <c r="C164" s="363">
        <f t="shared" si="8"/>
        <v>1.8464573414008468E-2</v>
      </c>
      <c r="D164" s="361">
        <f t="shared" si="9"/>
        <v>31.157501312057192</v>
      </c>
      <c r="E164" s="361"/>
      <c r="F164" s="362">
        <v>1.0710000000000001E-2</v>
      </c>
      <c r="G164" s="363">
        <f t="shared" si="10"/>
        <v>0.1782139459315992</v>
      </c>
      <c r="H164" s="361">
        <f t="shared" si="11"/>
        <v>63.743692184989847</v>
      </c>
    </row>
    <row r="165" spans="1:8">
      <c r="A165" s="355">
        <v>142</v>
      </c>
      <c r="B165" s="360">
        <v>2.5000000000000001E-2</v>
      </c>
      <c r="C165" s="363">
        <f t="shared" si="8"/>
        <v>1.8014217964886312E-2</v>
      </c>
      <c r="D165" s="361">
        <f t="shared" si="9"/>
        <v>31.175515530022079</v>
      </c>
      <c r="E165" s="361"/>
      <c r="F165" s="362">
        <v>1.0710000000000001E-2</v>
      </c>
      <c r="G165" s="363">
        <f t="shared" si="10"/>
        <v>0.17632549982843665</v>
      </c>
      <c r="H165" s="361">
        <f t="shared" si="11"/>
        <v>63.920017684818283</v>
      </c>
    </row>
    <row r="166" spans="1:8">
      <c r="A166" s="355">
        <v>143</v>
      </c>
      <c r="B166" s="360">
        <v>2.5000000000000001E-2</v>
      </c>
      <c r="C166" s="363">
        <f t="shared" si="8"/>
        <v>1.7574846795011038E-2</v>
      </c>
      <c r="D166" s="361">
        <f t="shared" si="9"/>
        <v>31.193090376817089</v>
      </c>
      <c r="E166" s="361"/>
      <c r="F166" s="362">
        <v>1.0710000000000001E-2</v>
      </c>
      <c r="G166" s="363">
        <f t="shared" si="10"/>
        <v>0.17445706466586525</v>
      </c>
      <c r="H166" s="361">
        <f t="shared" si="11"/>
        <v>64.094474749484149</v>
      </c>
    </row>
    <row r="167" spans="1:8">
      <c r="A167" s="355">
        <v>144</v>
      </c>
      <c r="B167" s="360">
        <v>2.5000000000000001E-2</v>
      </c>
      <c r="C167" s="363">
        <f t="shared" si="8"/>
        <v>1.7146191995132721E-2</v>
      </c>
      <c r="D167" s="361">
        <f t="shared" si="9"/>
        <v>31.210236568812221</v>
      </c>
      <c r="E167" s="361"/>
      <c r="F167" s="362">
        <v>1.0710000000000001E-2</v>
      </c>
      <c r="G167" s="363">
        <f t="shared" si="10"/>
        <v>0.17260842839772561</v>
      </c>
      <c r="H167" s="361">
        <f t="shared" si="11"/>
        <v>64.267083177881872</v>
      </c>
    </row>
    <row r="168" spans="1:8">
      <c r="A168" s="355">
        <v>145</v>
      </c>
      <c r="B168" s="360">
        <v>2.5000000000000001E-2</v>
      </c>
      <c r="C168" s="363">
        <f t="shared" si="8"/>
        <v>1.6727992190373388E-2</v>
      </c>
      <c r="D168" s="361">
        <f t="shared" si="9"/>
        <v>31.226964561002593</v>
      </c>
      <c r="E168" s="361"/>
      <c r="F168" s="362">
        <v>1.0710000000000001E-2</v>
      </c>
      <c r="G168" s="363">
        <f t="shared" si="10"/>
        <v>0.17077938122480793</v>
      </c>
      <c r="H168" s="361">
        <f t="shared" si="11"/>
        <v>64.437862559106676</v>
      </c>
    </row>
    <row r="169" spans="1:8">
      <c r="A169" s="355">
        <v>146</v>
      </c>
      <c r="B169" s="360">
        <v>2.5000000000000001E-2</v>
      </c>
      <c r="C169" s="363">
        <f t="shared" si="8"/>
        <v>1.6319992380852088E-2</v>
      </c>
      <c r="D169" s="361">
        <f t="shared" si="9"/>
        <v>31.243284553383443</v>
      </c>
      <c r="E169" s="361"/>
      <c r="F169" s="362">
        <v>1.0710000000000001E-2</v>
      </c>
      <c r="G169" s="363">
        <f t="shared" si="10"/>
        <v>0.16896971557104207</v>
      </c>
      <c r="H169" s="361">
        <f t="shared" si="11"/>
        <v>64.606832274677714</v>
      </c>
    </row>
    <row r="170" spans="1:8">
      <c r="A170" s="355">
        <v>147</v>
      </c>
      <c r="B170" s="360">
        <v>2.5000000000000001E-2</v>
      </c>
      <c r="C170" s="363">
        <f t="shared" si="8"/>
        <v>1.592194378619716E-2</v>
      </c>
      <c r="D170" s="361">
        <f t="shared" si="9"/>
        <v>31.25920649716964</v>
      </c>
      <c r="E170" s="361"/>
      <c r="F170" s="362">
        <v>1.0710000000000001E-2</v>
      </c>
      <c r="G170" s="363">
        <f t="shared" si="10"/>
        <v>0.16717922605994012</v>
      </c>
      <c r="H170" s="361">
        <f t="shared" si="11"/>
        <v>64.774011500737657</v>
      </c>
    </row>
    <row r="171" spans="1:8">
      <c r="A171" s="355">
        <v>148</v>
      </c>
      <c r="B171" s="360">
        <v>2.5000000000000001E-2</v>
      </c>
      <c r="C171" s="363">
        <f t="shared" si="8"/>
        <v>1.553360369385089E-2</v>
      </c>
      <c r="D171" s="361">
        <f t="shared" si="9"/>
        <v>31.27474010086349</v>
      </c>
      <c r="E171" s="361"/>
      <c r="F171" s="362">
        <v>1.0710000000000001E-2</v>
      </c>
      <c r="G171" s="363">
        <f t="shared" si="10"/>
        <v>0.16540770949128841</v>
      </c>
      <c r="H171" s="361">
        <f t="shared" si="11"/>
        <v>64.939419210228948</v>
      </c>
    </row>
    <row r="172" spans="1:8">
      <c r="A172" s="355">
        <v>149</v>
      </c>
      <c r="B172" s="360">
        <v>2.5000000000000001E-2</v>
      </c>
      <c r="C172" s="363">
        <f t="shared" si="8"/>
        <v>1.5154735311074041E-2</v>
      </c>
      <c r="D172" s="361">
        <f t="shared" si="9"/>
        <v>31.289894836174565</v>
      </c>
      <c r="E172" s="361"/>
      <c r="F172" s="362">
        <v>1.0710000000000001E-2</v>
      </c>
      <c r="G172" s="363">
        <f t="shared" si="10"/>
        <v>0.1636549648180867</v>
      </c>
      <c r="H172" s="361">
        <f t="shared" si="11"/>
        <v>65.103074175047041</v>
      </c>
    </row>
    <row r="173" spans="1:8">
      <c r="A173" s="355">
        <v>150</v>
      </c>
      <c r="B173" s="360">
        <v>2.5000000000000001E-2</v>
      </c>
      <c r="C173" s="363">
        <f t="shared" si="8"/>
        <v>1.4785107620560041E-2</v>
      </c>
      <c r="D173" s="361">
        <f t="shared" si="9"/>
        <v>31.304679943795126</v>
      </c>
      <c r="E173" s="361"/>
      <c r="F173" s="362">
        <v>1.0710000000000001E-2</v>
      </c>
      <c r="G173" s="363">
        <f t="shared" si="10"/>
        <v>0.16192079312373153</v>
      </c>
      <c r="H173" s="361">
        <f t="shared" si="11"/>
        <v>65.264994968170768</v>
      </c>
    </row>
    <row r="174" spans="1:8">
      <c r="A174" s="355">
        <v>151</v>
      </c>
      <c r="B174" s="360">
        <v>2.5000000000000001E-2</v>
      </c>
      <c r="C174" s="363">
        <f t="shared" si="8"/>
        <v>1.4424495239570774E-2</v>
      </c>
      <c r="D174" s="361">
        <f t="shared" si="9"/>
        <v>31.319104439034696</v>
      </c>
      <c r="E174" s="361"/>
      <c r="F174" s="362">
        <v>1.0710000000000001E-2</v>
      </c>
      <c r="G174" s="363">
        <f t="shared" si="10"/>
        <v>0.16020499759944151</v>
      </c>
      <c r="H174" s="361">
        <f t="shared" si="11"/>
        <v>65.425199965770204</v>
      </c>
    </row>
    <row r="175" spans="1:8">
      <c r="A175" s="355">
        <v>152</v>
      </c>
      <c r="B175" s="360">
        <v>2.5000000000000001E-2</v>
      </c>
      <c r="C175" s="363">
        <f t="shared" si="8"/>
        <v>1.4072678282508072E-2</v>
      </c>
      <c r="D175" s="361">
        <f t="shared" si="9"/>
        <v>31.333177117317206</v>
      </c>
      <c r="E175" s="361"/>
      <c r="F175" s="362">
        <v>1.0710000000000001E-2</v>
      </c>
      <c r="G175" s="363">
        <f t="shared" si="10"/>
        <v>0.15850738352192173</v>
      </c>
      <c r="H175" s="361">
        <f t="shared" si="11"/>
        <v>65.583707349292126</v>
      </c>
    </row>
    <row r="176" spans="1:8">
      <c r="A176" s="355">
        <v>153</v>
      </c>
      <c r="B176" s="360">
        <v>2.5000000000000001E-2</v>
      </c>
      <c r="C176" s="363">
        <f t="shared" si="8"/>
        <v>1.3729442226837144E-2</v>
      </c>
      <c r="D176" s="361">
        <f t="shared" si="9"/>
        <v>31.346906559544042</v>
      </c>
      <c r="E176" s="361"/>
      <c r="F176" s="362">
        <v>1.0710000000000001E-2</v>
      </c>
      <c r="G176" s="363">
        <f t="shared" si="10"/>
        <v>0.15682775823126488</v>
      </c>
      <c r="H176" s="361">
        <f t="shared" si="11"/>
        <v>65.740535107523385</v>
      </c>
    </row>
    <row r="177" spans="1:8">
      <c r="A177" s="355">
        <v>154</v>
      </c>
      <c r="B177" s="360">
        <v>2.5000000000000001E-2</v>
      </c>
      <c r="C177" s="363">
        <f t="shared" si="8"/>
        <v>1.3394577782280141E-2</v>
      </c>
      <c r="D177" s="361">
        <f t="shared" si="9"/>
        <v>31.360301137326321</v>
      </c>
      <c r="E177" s="361"/>
      <c r="F177" s="362">
        <v>1.0710000000000001E-2</v>
      </c>
      <c r="G177" s="363">
        <f t="shared" si="10"/>
        <v>0.15516593110908655</v>
      </c>
      <c r="H177" s="361">
        <f t="shared" si="11"/>
        <v>65.895701038632467</v>
      </c>
    </row>
    <row r="178" spans="1:8">
      <c r="A178" s="355">
        <v>155</v>
      </c>
      <c r="B178" s="360">
        <v>2.5000000000000001E-2</v>
      </c>
      <c r="C178" s="363">
        <f t="shared" si="8"/>
        <v>1.3067880763200139E-2</v>
      </c>
      <c r="D178" s="361">
        <f t="shared" si="9"/>
        <v>31.373369018089519</v>
      </c>
      <c r="E178" s="361"/>
      <c r="F178" s="362">
        <v>1.0710000000000001E-2</v>
      </c>
      <c r="G178" s="363">
        <f t="shared" si="10"/>
        <v>0.15352171355689223</v>
      </c>
      <c r="H178" s="361">
        <f t="shared" si="11"/>
        <v>66.049222752189365</v>
      </c>
    </row>
    <row r="179" spans="1:8">
      <c r="A179" s="355">
        <v>156</v>
      </c>
      <c r="B179" s="360">
        <v>2.5000000000000001E-2</v>
      </c>
      <c r="C179" s="363">
        <f t="shared" si="8"/>
        <v>1.2749151964097698E-2</v>
      </c>
      <c r="D179" s="361">
        <f t="shared" si="9"/>
        <v>31.386118170053617</v>
      </c>
      <c r="E179" s="361"/>
      <c r="F179" s="362">
        <v>1.0710000000000001E-2</v>
      </c>
      <c r="G179" s="363">
        <f t="shared" si="10"/>
        <v>0.15189491897467347</v>
      </c>
      <c r="H179" s="361">
        <f t="shared" si="11"/>
        <v>66.201117671164042</v>
      </c>
    </row>
    <row r="180" spans="1:8">
      <c r="A180" s="355">
        <v>157</v>
      </c>
      <c r="B180" s="360">
        <v>2.5000000000000001E-2</v>
      </c>
      <c r="C180" s="363">
        <f t="shared" si="8"/>
        <v>1.2438197038144097E-2</v>
      </c>
      <c r="D180" s="361">
        <f t="shared" si="9"/>
        <v>31.398556367091761</v>
      </c>
      <c r="E180" s="361"/>
      <c r="F180" s="362">
        <v>1.0710000000000001E-2</v>
      </c>
      <c r="G180" s="363">
        <f t="shared" si="10"/>
        <v>0.15028536273973095</v>
      </c>
      <c r="H180" s="361">
        <f t="shared" si="11"/>
        <v>66.351403033903779</v>
      </c>
    </row>
    <row r="181" spans="1:8">
      <c r="A181" s="355">
        <v>158</v>
      </c>
      <c r="B181" s="360">
        <v>2.5000000000000001E-2</v>
      </c>
      <c r="C181" s="363">
        <f t="shared" si="8"/>
        <v>1.2134826378677169E-2</v>
      </c>
      <c r="D181" s="361">
        <f t="shared" si="9"/>
        <v>31.410691193470438</v>
      </c>
      <c r="E181" s="361"/>
      <c r="F181" s="362">
        <v>1.0710000000000001E-2</v>
      </c>
      <c r="G181" s="363">
        <f t="shared" si="10"/>
        <v>0.14869286218572186</v>
      </c>
      <c r="H181" s="361">
        <f t="shared" si="11"/>
        <v>66.500095896089505</v>
      </c>
    </row>
    <row r="182" spans="1:8">
      <c r="A182" s="355">
        <v>159</v>
      </c>
      <c r="B182" s="360">
        <v>2.5000000000000001E-2</v>
      </c>
      <c r="C182" s="363">
        <f t="shared" si="8"/>
        <v>1.1838855003587483E-2</v>
      </c>
      <c r="D182" s="361">
        <f t="shared" si="9"/>
        <v>31.422530048474027</v>
      </c>
      <c r="E182" s="361"/>
      <c r="F182" s="362">
        <v>1.0710000000000001E-2</v>
      </c>
      <c r="G182" s="363">
        <f t="shared" si="10"/>
        <v>0.14711723658192941</v>
      </c>
      <c r="H182" s="361">
        <f t="shared" si="11"/>
        <v>66.647213132671439</v>
      </c>
    </row>
    <row r="183" spans="1:8">
      <c r="A183" s="355">
        <v>160</v>
      </c>
      <c r="B183" s="360">
        <v>2.5000000000000001E-2</v>
      </c>
      <c r="C183" s="363">
        <f t="shared" si="8"/>
        <v>1.1550102442524374E-2</v>
      </c>
      <c r="D183" s="361">
        <f t="shared" si="9"/>
        <v>31.43408015091655</v>
      </c>
      <c r="E183" s="361"/>
      <c r="F183" s="362">
        <v>1.0710000000000001E-2</v>
      </c>
      <c r="G183" s="363">
        <f t="shared" si="10"/>
        <v>0.14555830711275183</v>
      </c>
      <c r="H183" s="361">
        <f t="shared" si="11"/>
        <v>66.79277143978419</v>
      </c>
    </row>
    <row r="184" spans="1:8">
      <c r="A184" s="355">
        <v>161</v>
      </c>
      <c r="B184" s="360">
        <v>2.5000000000000001E-2</v>
      </c>
      <c r="C184" s="363">
        <f t="shared" si="8"/>
        <v>1.1268392626853049E-2</v>
      </c>
      <c r="D184" s="361">
        <f t="shared" si="9"/>
        <v>31.445348543543403</v>
      </c>
      <c r="E184" s="361"/>
      <c r="F184" s="362">
        <v>1.0710000000000001E-2</v>
      </c>
      <c r="G184" s="363">
        <f t="shared" si="10"/>
        <v>0.14401589685740898</v>
      </c>
      <c r="H184" s="361">
        <f t="shared" si="11"/>
        <v>66.936787336641601</v>
      </c>
    </row>
    <row r="185" spans="1:8">
      <c r="A185" s="355">
        <v>162</v>
      </c>
      <c r="B185" s="360">
        <v>2.5000000000000001E-2</v>
      </c>
      <c r="C185" s="363">
        <f t="shared" si="8"/>
        <v>1.0993553782295658E-2</v>
      </c>
      <c r="D185" s="361">
        <f t="shared" si="9"/>
        <v>31.456342097325699</v>
      </c>
      <c r="E185" s="361"/>
      <c r="F185" s="362">
        <v>1.0710000000000001E-2</v>
      </c>
      <c r="G185" s="363">
        <f t="shared" si="10"/>
        <v>0.14248983076986374</v>
      </c>
      <c r="H185" s="361">
        <f t="shared" si="11"/>
        <v>67.079277167411462</v>
      </c>
    </row>
    <row r="186" spans="1:8">
      <c r="A186" s="355">
        <v>163</v>
      </c>
      <c r="B186" s="360">
        <v>2.5000000000000001E-2</v>
      </c>
      <c r="C186" s="363">
        <f t="shared" si="8"/>
        <v>1.0725418324190886E-2</v>
      </c>
      <c r="D186" s="361">
        <f t="shared" si="9"/>
        <v>31.467067515649891</v>
      </c>
      <c r="E186" s="361"/>
      <c r="F186" s="362">
        <v>1.0710000000000001E-2</v>
      </c>
      <c r="G186" s="363">
        <f t="shared" si="10"/>
        <v>0.14097993565895631</v>
      </c>
      <c r="H186" s="361">
        <f t="shared" si="11"/>
        <v>67.220257103070423</v>
      </c>
    </row>
    <row r="187" spans="1:8">
      <c r="A187" s="355">
        <v>164</v>
      </c>
      <c r="B187" s="360">
        <v>2.5000000000000001E-2</v>
      </c>
      <c r="C187" s="363">
        <f t="shared" si="8"/>
        <v>1.0463822755308183E-2</v>
      </c>
      <c r="D187" s="361">
        <f t="shared" si="9"/>
        <v>31.4775313384052</v>
      </c>
      <c r="E187" s="361"/>
      <c r="F187" s="362">
        <v>1.0710000000000001E-2</v>
      </c>
      <c r="G187" s="363">
        <f t="shared" si="10"/>
        <v>0.13948604016874899</v>
      </c>
      <c r="H187" s="361">
        <f t="shared" si="11"/>
        <v>67.359743143239172</v>
      </c>
    </row>
    <row r="188" spans="1:8">
      <c r="A188" s="355">
        <v>165</v>
      </c>
      <c r="B188" s="360">
        <v>2.5000000000000001E-2</v>
      </c>
      <c r="C188" s="363">
        <f t="shared" si="8"/>
        <v>1.0208607566154326E-2</v>
      </c>
      <c r="D188" s="361">
        <f t="shared" si="9"/>
        <v>31.487739945971356</v>
      </c>
      <c r="E188" s="361"/>
      <c r="F188" s="362">
        <v>1.0710000000000001E-2</v>
      </c>
      <c r="G188" s="363">
        <f t="shared" si="10"/>
        <v>0.13800797475907925</v>
      </c>
      <c r="H188" s="361">
        <f t="shared" si="11"/>
        <v>67.497751117998249</v>
      </c>
    </row>
    <row r="189" spans="1:8">
      <c r="A189" s="355">
        <v>166</v>
      </c>
      <c r="B189" s="360">
        <v>2.5000000000000001E-2</v>
      </c>
      <c r="C189" s="363">
        <f t="shared" si="8"/>
        <v>9.9596171377115388E-3</v>
      </c>
      <c r="D189" s="361">
        <f t="shared" si="9"/>
        <v>31.497699563109066</v>
      </c>
      <c r="E189" s="361"/>
      <c r="F189" s="362">
        <v>1.0710000000000001E-2</v>
      </c>
      <c r="G189" s="363">
        <f t="shared" si="10"/>
        <v>0.13654557168631878</v>
      </c>
      <c r="H189" s="361">
        <f t="shared" si="11"/>
        <v>67.634296689684561</v>
      </c>
    </row>
    <row r="190" spans="1:8">
      <c r="A190" s="355">
        <v>167</v>
      </c>
      <c r="B190" s="360">
        <v>2.5000000000000001E-2</v>
      </c>
      <c r="C190" s="363">
        <f t="shared" si="8"/>
        <v>9.7166996465478436E-3</v>
      </c>
      <c r="D190" s="361">
        <f t="shared" si="9"/>
        <v>31.507416262755612</v>
      </c>
      <c r="E190" s="361"/>
      <c r="F190" s="362">
        <v>1.0710000000000001E-2</v>
      </c>
      <c r="G190" s="363">
        <f t="shared" si="10"/>
        <v>0.13509866498433654</v>
      </c>
      <c r="H190" s="361">
        <f t="shared" si="11"/>
        <v>67.769395354668902</v>
      </c>
    </row>
    <row r="191" spans="1:8">
      <c r="A191" s="355">
        <v>168</v>
      </c>
      <c r="B191" s="360">
        <v>2.5000000000000001E-2</v>
      </c>
      <c r="C191" s="363">
        <f t="shared" si="8"/>
        <v>9.4797069722418002E-3</v>
      </c>
      <c r="D191" s="361">
        <f t="shared" si="9"/>
        <v>31.516895969727855</v>
      </c>
      <c r="E191" s="361"/>
      <c r="F191" s="362">
        <v>1.0710000000000001E-2</v>
      </c>
      <c r="G191" s="363">
        <f t="shared" si="10"/>
        <v>0.13366709044566347</v>
      </c>
      <c r="H191" s="361">
        <f t="shared" si="11"/>
        <v>67.903062445114571</v>
      </c>
    </row>
    <row r="192" spans="1:8">
      <c r="A192" s="355">
        <v>169</v>
      </c>
      <c r="B192" s="360">
        <v>2.5000000000000001E-2</v>
      </c>
      <c r="C192" s="363">
        <f t="shared" si="8"/>
        <v>9.2484946070651719E-3</v>
      </c>
      <c r="D192" s="361">
        <f t="shared" si="9"/>
        <v>31.526144464334919</v>
      </c>
      <c r="E192" s="361"/>
      <c r="F192" s="362">
        <v>1.0710000000000001E-2</v>
      </c>
      <c r="G192" s="363">
        <f t="shared" si="10"/>
        <v>0.13225068560285688</v>
      </c>
      <c r="H192" s="361">
        <f t="shared" si="11"/>
        <v>68.035313130717427</v>
      </c>
    </row>
    <row r="193" spans="1:8">
      <c r="A193" s="355">
        <v>170</v>
      </c>
      <c r="B193" s="360">
        <v>2.5000000000000001E-2</v>
      </c>
      <c r="C193" s="363">
        <f t="shared" si="8"/>
        <v>9.0229215678684603E-3</v>
      </c>
      <c r="D193" s="361">
        <f t="shared" si="9"/>
        <v>31.535167385902788</v>
      </c>
      <c r="E193" s="361"/>
      <c r="F193" s="362">
        <v>1.0710000000000001E-2</v>
      </c>
      <c r="G193" s="363">
        <f t="shared" si="10"/>
        <v>0.13084928971006213</v>
      </c>
      <c r="H193" s="361">
        <f t="shared" si="11"/>
        <v>68.166162420427483</v>
      </c>
    </row>
    <row r="194" spans="1:8">
      <c r="A194" s="355">
        <v>171</v>
      </c>
      <c r="B194" s="360">
        <v>2.5000000000000001E-2</v>
      </c>
      <c r="C194" s="363">
        <f t="shared" si="8"/>
        <v>8.8028503101155713E-3</v>
      </c>
      <c r="D194" s="361">
        <f t="shared" si="9"/>
        <v>31.543970236212903</v>
      </c>
      <c r="E194" s="361"/>
      <c r="F194" s="362">
        <v>1.0710000000000001E-2</v>
      </c>
      <c r="G194" s="363">
        <f t="shared" si="10"/>
        <v>0.12946274372476985</v>
      </c>
      <c r="H194" s="361">
        <f t="shared" si="11"/>
        <v>68.295625164152256</v>
      </c>
    </row>
    <row r="195" spans="1:8">
      <c r="A195" s="355">
        <v>172</v>
      </c>
      <c r="B195" s="360">
        <v>2.5000000000000001E-2</v>
      </c>
      <c r="C195" s="363">
        <f t="shared" si="8"/>
        <v>8.5881466440151915E-3</v>
      </c>
      <c r="D195" s="361">
        <f t="shared" si="9"/>
        <v>31.552558382856919</v>
      </c>
      <c r="E195" s="361"/>
      <c r="F195" s="362">
        <v>1.0710000000000001E-2</v>
      </c>
      <c r="G195" s="363">
        <f t="shared" si="10"/>
        <v>0.12809089028976645</v>
      </c>
      <c r="H195" s="361">
        <f t="shared" si="11"/>
        <v>68.423716054442025</v>
      </c>
    </row>
    <row r="196" spans="1:8">
      <c r="A196" s="355">
        <v>173</v>
      </c>
      <c r="B196" s="360">
        <v>2.5000000000000001E-2</v>
      </c>
      <c r="C196" s="363">
        <f t="shared" si="8"/>
        <v>8.3786796526977483E-3</v>
      </c>
      <c r="D196" s="361">
        <f t="shared" si="9"/>
        <v>31.560937062509616</v>
      </c>
      <c r="E196" s="361"/>
      <c r="F196" s="362">
        <v>1.0710000000000001E-2</v>
      </c>
      <c r="G196" s="363">
        <f t="shared" si="10"/>
        <v>0.12673357371527585</v>
      </c>
      <c r="H196" s="361">
        <f t="shared" si="11"/>
        <v>68.550449628157295</v>
      </c>
    </row>
    <row r="197" spans="1:8">
      <c r="A197" s="355">
        <v>174</v>
      </c>
      <c r="B197" s="360">
        <v>2.5000000000000001E-2</v>
      </c>
      <c r="C197" s="363">
        <f t="shared" si="8"/>
        <v>8.1743216123880483E-3</v>
      </c>
      <c r="D197" s="361">
        <f t="shared" si="9"/>
        <v>31.569111384122003</v>
      </c>
      <c r="E197" s="361"/>
      <c r="F197" s="362">
        <v>1.0710000000000001E-2</v>
      </c>
      <c r="G197" s="363">
        <f t="shared" si="10"/>
        <v>0.12539063996129043</v>
      </c>
      <c r="H197" s="361">
        <f t="shared" si="11"/>
        <v>68.675840268118591</v>
      </c>
    </row>
    <row r="198" spans="1:8">
      <c r="A198" s="355">
        <v>175</v>
      </c>
      <c r="B198" s="360">
        <v>2.5000000000000001E-2</v>
      </c>
      <c r="C198" s="363">
        <f t="shared" si="8"/>
        <v>7.9749479145249259E-3</v>
      </c>
      <c r="D198" s="361">
        <f t="shared" si="9"/>
        <v>31.577086332036529</v>
      </c>
      <c r="E198" s="361"/>
      <c r="F198" s="362">
        <v>1.0710000000000001E-2</v>
      </c>
      <c r="G198" s="363">
        <f t="shared" si="10"/>
        <v>0.12406193662008928</v>
      </c>
      <c r="H198" s="361">
        <f t="shared" si="11"/>
        <v>68.799902204738686</v>
      </c>
    </row>
    <row r="199" spans="1:8">
      <c r="A199" s="355">
        <v>176</v>
      </c>
      <c r="B199" s="360">
        <v>2.5000000000000001E-2</v>
      </c>
      <c r="C199" s="363">
        <f t="shared" si="8"/>
        <v>7.7804369897804164E-3</v>
      </c>
      <c r="D199" s="361">
        <f t="shared" si="9"/>
        <v>31.584866769026309</v>
      </c>
      <c r="E199" s="361"/>
      <c r="F199" s="362">
        <v>1.0710000000000001E-2</v>
      </c>
      <c r="G199" s="363">
        <f t="shared" si="10"/>
        <v>0.12274731289894161</v>
      </c>
      <c r="H199" s="361">
        <f t="shared" si="11"/>
        <v>68.922649517637623</v>
      </c>
    </row>
    <row r="200" spans="1:8">
      <c r="A200" s="355">
        <v>177</v>
      </c>
      <c r="B200" s="360">
        <v>2.5000000000000001E-2</v>
      </c>
      <c r="C200" s="363">
        <f t="shared" si="8"/>
        <v>7.590670233932114E-3</v>
      </c>
      <c r="D200" s="361">
        <f t="shared" si="9"/>
        <v>31.59245743926024</v>
      </c>
      <c r="E200" s="361"/>
      <c r="F200" s="362">
        <v>1.0710000000000001E-2</v>
      </c>
      <c r="G200" s="363">
        <f t="shared" si="10"/>
        <v>0.12144661960299355</v>
      </c>
      <c r="H200" s="361">
        <f t="shared" si="11"/>
        <v>69.044096137240615</v>
      </c>
    </row>
    <row r="201" spans="1:8">
      <c r="A201" s="355">
        <v>178</v>
      </c>
      <c r="B201" s="360">
        <v>2.5000000000000001E-2</v>
      </c>
      <c r="C201" s="363">
        <f t="shared" si="8"/>
        <v>7.4055319355435262E-3</v>
      </c>
      <c r="D201" s="361">
        <f t="shared" si="9"/>
        <v>31.599862971195783</v>
      </c>
      <c r="E201" s="361"/>
      <c r="F201" s="362">
        <v>1.0710000000000001E-2</v>
      </c>
      <c r="G201" s="363">
        <f t="shared" si="10"/>
        <v>0.12015970911833616</v>
      </c>
      <c r="H201" s="361">
        <f t="shared" si="11"/>
        <v>69.164255846358955</v>
      </c>
    </row>
    <row r="202" spans="1:8">
      <c r="A202" s="355">
        <v>179</v>
      </c>
      <c r="B202" s="360">
        <v>2.5000000000000001E-2</v>
      </c>
      <c r="C202" s="363">
        <f t="shared" si="8"/>
        <v>7.2249092054083187E-3</v>
      </c>
      <c r="D202" s="361">
        <f t="shared" si="9"/>
        <v>31.607087880401192</v>
      </c>
      <c r="E202" s="361"/>
      <c r="F202" s="362">
        <v>1.0710000000000001E-2</v>
      </c>
      <c r="G202" s="363">
        <f t="shared" si="10"/>
        <v>0.11888643539525301</v>
      </c>
      <c r="H202" s="361">
        <f t="shared" si="11"/>
        <v>69.283142281754209</v>
      </c>
    </row>
    <row r="203" spans="1:8">
      <c r="A203" s="355">
        <v>180</v>
      </c>
      <c r="B203" s="360">
        <v>2.5000000000000001E-2</v>
      </c>
      <c r="C203" s="363">
        <f t="shared" si="8"/>
        <v>7.0486919077154334E-3</v>
      </c>
      <c r="D203" s="361">
        <f t="shared" si="9"/>
        <v>31.614136572308908</v>
      </c>
      <c r="E203" s="361"/>
      <c r="F203" s="362">
        <v>1.0710000000000001E-2</v>
      </c>
      <c r="G203" s="363">
        <f t="shared" si="10"/>
        <v>0.11762665393164509</v>
      </c>
      <c r="H203" s="361">
        <f t="shared" si="11"/>
        <v>69.400768935685861</v>
      </c>
    </row>
    <row r="204" spans="1:8">
      <c r="A204" s="355">
        <v>181</v>
      </c>
      <c r="B204" s="360">
        <v>2.5000000000000001E-2</v>
      </c>
      <c r="C204" s="363">
        <f t="shared" si="8"/>
        <v>6.8767725928931059E-3</v>
      </c>
      <c r="D204" s="361">
        <f t="shared" si="9"/>
        <v>31.621013344901801</v>
      </c>
      <c r="E204" s="361"/>
      <c r="F204" s="362">
        <v>1.0710000000000001E-2</v>
      </c>
      <c r="G204" s="363">
        <f t="shared" si="10"/>
        <v>0.11638022175663157</v>
      </c>
      <c r="H204" s="361">
        <f t="shared" si="11"/>
        <v>69.517149157442489</v>
      </c>
    </row>
    <row r="205" spans="1:8">
      <c r="A205" s="355">
        <v>182</v>
      </c>
      <c r="B205" s="360">
        <v>2.5000000000000001E-2</v>
      </c>
      <c r="C205" s="363">
        <f t="shared" si="8"/>
        <v>6.709046432090836E-3</v>
      </c>
      <c r="D205" s="361">
        <f t="shared" si="9"/>
        <v>31.62772239133389</v>
      </c>
      <c r="E205" s="361"/>
      <c r="F205" s="362">
        <v>1.0710000000000001E-2</v>
      </c>
      <c r="G205" s="363">
        <f t="shared" si="10"/>
        <v>0.11514699741432416</v>
      </c>
      <c r="H205" s="361">
        <f t="shared" si="11"/>
        <v>69.632296154856817</v>
      </c>
    </row>
    <row r="206" spans="1:8">
      <c r="A206" s="355">
        <v>183</v>
      </c>
      <c r="B206" s="360">
        <v>2.5000000000000001E-2</v>
      </c>
      <c r="C206" s="363">
        <f t="shared" si="8"/>
        <v>6.5454111532593524E-3</v>
      </c>
      <c r="D206" s="361">
        <f t="shared" si="9"/>
        <v>31.634267802487148</v>
      </c>
      <c r="E206" s="361"/>
      <c r="F206" s="362">
        <v>1.0710000000000001E-2</v>
      </c>
      <c r="G206" s="363">
        <f t="shared" si="10"/>
        <v>0.1139268409477735</v>
      </c>
      <c r="H206" s="361">
        <f t="shared" si="11"/>
        <v>69.746222995804587</v>
      </c>
    </row>
    <row r="207" spans="1:8">
      <c r="A207" s="355">
        <v>184</v>
      </c>
      <c r="B207" s="360">
        <v>2.5000000000000001E-2</v>
      </c>
      <c r="C207" s="363">
        <f t="shared" si="8"/>
        <v>6.3857669787896129E-3</v>
      </c>
      <c r="D207" s="361">
        <f t="shared" si="9"/>
        <v>31.640653569465936</v>
      </c>
      <c r="E207" s="361"/>
      <c r="F207" s="362">
        <v>1.0710000000000001E-2</v>
      </c>
      <c r="G207" s="363">
        <f t="shared" si="10"/>
        <v>0.11271961388308566</v>
      </c>
      <c r="H207" s="361">
        <f t="shared" si="11"/>
        <v>69.858942609687674</v>
      </c>
    </row>
    <row r="208" spans="1:8">
      <c r="A208" s="355">
        <v>185</v>
      </c>
      <c r="B208" s="360">
        <v>2.5000000000000001E-2</v>
      </c>
      <c r="C208" s="363">
        <f t="shared" si="8"/>
        <v>6.2300165646727934E-3</v>
      </c>
      <c r="D208" s="361">
        <f t="shared" si="9"/>
        <v>31.646883586030608</v>
      </c>
      <c r="E208" s="361"/>
      <c r="F208" s="362">
        <v>1.0710000000000001E-2</v>
      </c>
      <c r="G208" s="363">
        <f t="shared" si="10"/>
        <v>0.11152517921370686</v>
      </c>
      <c r="H208" s="361">
        <f t="shared" si="11"/>
        <v>69.970467788901374</v>
      </c>
    </row>
    <row r="209" spans="1:10">
      <c r="A209" s="355">
        <v>186</v>
      </c>
      <c r="B209" s="360">
        <v>2.5000000000000001E-2</v>
      </c>
      <c r="C209" s="363">
        <f t="shared" si="8"/>
        <v>6.0780649411441888E-3</v>
      </c>
      <c r="D209" s="361">
        <f t="shared" si="9"/>
        <v>31.652961650971751</v>
      </c>
      <c r="E209" s="361"/>
      <c r="F209" s="362">
        <v>1.0710000000000001E-2</v>
      </c>
      <c r="G209" s="363">
        <f t="shared" si="10"/>
        <v>0.11034340138487485</v>
      </c>
      <c r="H209" s="361">
        <f t="shared" si="11"/>
        <v>70.080811190286255</v>
      </c>
    </row>
    <row r="210" spans="1:10">
      <c r="A210" s="355">
        <v>187</v>
      </c>
      <c r="B210" s="360">
        <v>2.5000000000000001E-2</v>
      </c>
      <c r="C210" s="363">
        <f t="shared" si="8"/>
        <v>5.9298194547748187E-3</v>
      </c>
      <c r="D210" s="361">
        <f t="shared" si="9"/>
        <v>31.658891470426525</v>
      </c>
      <c r="E210" s="361"/>
      <c r="F210" s="362">
        <v>1.0710000000000001E-2</v>
      </c>
      <c r="G210" s="363">
        <f t="shared" si="10"/>
        <v>0.10917414627823495</v>
      </c>
      <c r="H210" s="361">
        <f t="shared" si="11"/>
        <v>70.18998533656449</v>
      </c>
    </row>
    <row r="211" spans="1:10">
      <c r="A211" s="355">
        <v>188</v>
      </c>
      <c r="B211" s="360">
        <v>2.5000000000000001E-2</v>
      </c>
      <c r="C211" s="363">
        <f t="shared" si="8"/>
        <v>5.7851897119754331E-3</v>
      </c>
      <c r="D211" s="361">
        <f t="shared" si="9"/>
        <v>31.6646766601385</v>
      </c>
      <c r="E211" s="361"/>
      <c r="F211" s="362">
        <v>1.0710000000000001E-2</v>
      </c>
      <c r="G211" s="363">
        <f t="shared" si="10"/>
        <v>0.10801728119661916</v>
      </c>
      <c r="H211" s="361">
        <f t="shared" si="11"/>
        <v>70.298002617761114</v>
      </c>
    </row>
    <row r="212" spans="1:10">
      <c r="A212" s="355">
        <v>189</v>
      </c>
      <c r="B212" s="360">
        <v>2.5000000000000001E-2</v>
      </c>
      <c r="C212" s="363">
        <f t="shared" si="8"/>
        <v>5.6440875238784717E-3</v>
      </c>
      <c r="D212" s="361">
        <f t="shared" si="9"/>
        <v>31.67032074766238</v>
      </c>
      <c r="E212" s="361"/>
      <c r="F212" s="362">
        <v>1.0710000000000001E-2</v>
      </c>
      <c r="G212" s="363">
        <f t="shared" si="10"/>
        <v>0.10687267484898651</v>
      </c>
      <c r="H212" s="361">
        <f t="shared" si="11"/>
        <v>70.4048752926101</v>
      </c>
    </row>
    <row r="213" spans="1:10">
      <c r="A213" s="355">
        <v>190</v>
      </c>
      <c r="B213" s="360">
        <v>2.5000000000000001E-2</v>
      </c>
      <c r="C213" s="363">
        <f t="shared" si="8"/>
        <v>5.5064268525643629E-3</v>
      </c>
      <c r="D213" s="361">
        <f t="shared" si="9"/>
        <v>31.675827174514943</v>
      </c>
      <c r="E213" s="361"/>
      <c r="F213" s="362">
        <v>1.0710000000000001E-2</v>
      </c>
      <c r="G213" s="363">
        <f t="shared" si="10"/>
        <v>0.10574019733552306</v>
      </c>
      <c r="H213" s="361">
        <f t="shared" si="11"/>
        <v>70.510615489945621</v>
      </c>
    </row>
    <row r="214" spans="1:10">
      <c r="A214" s="355">
        <v>191</v>
      </c>
      <c r="B214" s="360">
        <v>2.5000000000000001E-2</v>
      </c>
      <c r="C214" s="363">
        <f t="shared" si="8"/>
        <v>5.372123758599379E-3</v>
      </c>
      <c r="D214" s="361">
        <f t="shared" si="9"/>
        <v>31.681199298273544</v>
      </c>
      <c r="E214" s="361"/>
      <c r="F214" s="362">
        <v>1.0710000000000001E-2</v>
      </c>
      <c r="G214" s="363">
        <f t="shared" si="10"/>
        <v>0.1046197201328997</v>
      </c>
      <c r="H214" s="361">
        <f t="shared" si="11"/>
        <v>70.615235210078524</v>
      </c>
    </row>
    <row r="215" spans="1:10">
      <c r="A215" s="355">
        <v>192</v>
      </c>
      <c r="B215" s="360">
        <v>2.5000000000000001E-2</v>
      </c>
      <c r="C215" s="363">
        <f t="shared" si="8"/>
        <v>5.2410963498530534E-3</v>
      </c>
      <c r="D215" s="361">
        <f t="shared" si="9"/>
        <v>31.686440394623396</v>
      </c>
      <c r="E215" s="361"/>
      <c r="F215" s="362">
        <v>1.0710000000000001E-2</v>
      </c>
      <c r="G215" s="363">
        <f t="shared" si="10"/>
        <v>0.10351111607968627</v>
      </c>
      <c r="H215" s="361">
        <f t="shared" si="11"/>
        <v>70.718746326158211</v>
      </c>
    </row>
    <row r="216" spans="1:10">
      <c r="A216" s="355">
        <v>193</v>
      </c>
      <c r="B216" s="360">
        <v>2.5000000000000001E-2</v>
      </c>
      <c r="C216" s="363">
        <f t="shared" si="8"/>
        <v>5.1132647315639554E-3</v>
      </c>
      <c r="D216" s="361">
        <f t="shared" si="9"/>
        <v>31.691553659354959</v>
      </c>
      <c r="E216" s="361"/>
      <c r="F216" s="362">
        <v>1.0710000000000001E-2</v>
      </c>
      <c r="G216" s="363">
        <f t="shared" si="10"/>
        <v>0.10241425936192011</v>
      </c>
      <c r="H216" s="361">
        <f t="shared" si="11"/>
        <v>70.821160585520133</v>
      </c>
    </row>
    <row r="217" spans="1:10">
      <c r="A217" s="355">
        <v>194</v>
      </c>
      <c r="B217" s="360">
        <v>2.5000000000000001E-2</v>
      </c>
      <c r="C217" s="363">
        <f t="shared" ref="C217:C223" si="12">C216/(1+B217)</f>
        <v>4.9885509576233717E-3</v>
      </c>
      <c r="D217" s="361">
        <f t="shared" ref="D217:D223" si="13">D216+C217</f>
        <v>31.696542210312582</v>
      </c>
      <c r="E217" s="361"/>
      <c r="F217" s="362">
        <v>1.0710000000000001E-2</v>
      </c>
      <c r="G217" s="363">
        <f t="shared" ref="G217:G223" si="14">G216/(1+F217)</f>
        <v>0.10132902549882766</v>
      </c>
      <c r="H217" s="361">
        <f t="shared" ref="H217:H223" si="15">H216+G217</f>
        <v>70.92248961101896</v>
      </c>
    </row>
    <row r="218" spans="1:10">
      <c r="A218" s="355">
        <v>195</v>
      </c>
      <c r="B218" s="360">
        <v>2.5000000000000001E-2</v>
      </c>
      <c r="C218" s="363">
        <f t="shared" si="12"/>
        <v>4.8668789830471921E-3</v>
      </c>
      <c r="D218" s="361">
        <f t="shared" si="13"/>
        <v>31.70140908929563</v>
      </c>
      <c r="E218" s="361"/>
      <c r="F218" s="362">
        <v>1.0710000000000001E-2</v>
      </c>
      <c r="G218" s="363">
        <f t="shared" si="14"/>
        <v>0.10025529132869732</v>
      </c>
      <c r="H218" s="361">
        <f t="shared" si="15"/>
        <v>71.022744902347654</v>
      </c>
    </row>
    <row r="219" spans="1:10">
      <c r="A219" s="355">
        <v>196</v>
      </c>
      <c r="B219" s="360">
        <v>2.5000000000000001E-2</v>
      </c>
      <c r="C219" s="363">
        <f t="shared" si="12"/>
        <v>4.7481746176070167E-3</v>
      </c>
      <c r="D219" s="361">
        <f t="shared" si="13"/>
        <v>31.706157263913237</v>
      </c>
      <c r="E219" s="361"/>
      <c r="F219" s="362">
        <v>1.0710000000000001E-2</v>
      </c>
      <c r="G219" s="363">
        <f t="shared" si="14"/>
        <v>9.9192934994901921E-2</v>
      </c>
      <c r="H219" s="361">
        <f t="shared" si="15"/>
        <v>71.121937837342557</v>
      </c>
    </row>
    <row r="220" spans="1:10">
      <c r="A220" s="355">
        <v>197</v>
      </c>
      <c r="B220" s="360">
        <v>2.5000000000000001E-2</v>
      </c>
      <c r="C220" s="363">
        <f t="shared" si="12"/>
        <v>4.6323654805922121E-3</v>
      </c>
      <c r="D220" s="361">
        <f t="shared" si="13"/>
        <v>31.71078962939383</v>
      </c>
      <c r="E220" s="361"/>
      <c r="F220" s="362">
        <v>1.0710000000000001E-2</v>
      </c>
      <c r="G220" s="363">
        <f t="shared" si="14"/>
        <v>9.814183593206946E-2</v>
      </c>
      <c r="H220" s="361">
        <f t="shared" si="15"/>
        <v>71.220079673274626</v>
      </c>
    </row>
    <row r="221" spans="1:10">
      <c r="A221" s="355">
        <v>198</v>
      </c>
      <c r="B221" s="360">
        <v>2.5000000000000001E-2</v>
      </c>
      <c r="C221" s="363">
        <f t="shared" si="12"/>
        <v>4.5193809566753292E-3</v>
      </c>
      <c r="D221" s="361">
        <f t="shared" si="13"/>
        <v>31.715309010350506</v>
      </c>
      <c r="E221" s="361"/>
      <c r="F221" s="362">
        <v>1.0710000000000001E-2</v>
      </c>
      <c r="G221" s="363">
        <f t="shared" si="14"/>
        <v>9.7101874852400252E-2</v>
      </c>
      <c r="H221" s="361">
        <f t="shared" si="15"/>
        <v>71.317181548127024</v>
      </c>
    </row>
    <row r="222" spans="1:10">
      <c r="A222" s="355">
        <v>199</v>
      </c>
      <c r="B222" s="360">
        <v>2.5000000000000001E-2</v>
      </c>
      <c r="C222" s="363">
        <f t="shared" si="12"/>
        <v>4.4091521528539799E-3</v>
      </c>
      <c r="D222" s="361">
        <f t="shared" si="13"/>
        <v>31.719718162503359</v>
      </c>
      <c r="E222" s="361"/>
      <c r="F222" s="362">
        <v>1.0710000000000001E-2</v>
      </c>
      <c r="G222" s="363">
        <f t="shared" si="14"/>
        <v>9.6072933732129148E-2</v>
      </c>
      <c r="H222" s="361">
        <f t="shared" si="15"/>
        <v>71.413254481859155</v>
      </c>
    </row>
    <row r="223" spans="1:10">
      <c r="A223" s="355">
        <v>200</v>
      </c>
      <c r="B223" s="360">
        <v>2.5000000000000001E-2</v>
      </c>
      <c r="C223" s="363">
        <f t="shared" si="12"/>
        <v>4.3016118564429074E-3</v>
      </c>
      <c r="D223" s="361">
        <f t="shared" si="13"/>
        <v>31.724019774359803</v>
      </c>
      <c r="E223" s="361"/>
      <c r="F223" s="362">
        <v>1.0710000000000001E-2</v>
      </c>
      <c r="G223" s="363">
        <f t="shared" si="14"/>
        <v>9.5054895798131159E-2</v>
      </c>
      <c r="H223" s="361">
        <f t="shared" si="15"/>
        <v>71.508309377657284</v>
      </c>
    </row>
    <row r="224" spans="1:10">
      <c r="B224" s="358"/>
      <c r="D224" s="364"/>
      <c r="E224" s="364"/>
      <c r="F224" s="358"/>
      <c r="G224" s="358"/>
      <c r="H224" s="358"/>
      <c r="I224" s="358"/>
      <c r="J224" s="358"/>
    </row>
  </sheetData>
  <mergeCells count="1">
    <mergeCell ref="I8:M10"/>
  </mergeCells>
  <hyperlinks>
    <hyperlink ref="I8" r:id="rId1" location="valuation-of-costs-and-benefits" xr:uid="{DC425A6B-FF77-40AA-B9B1-F02C76C7F65D}"/>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E8F0C5F6F37A4387C70BD56B950144" ma:contentTypeVersion="11" ma:contentTypeDescription="Create a new document." ma:contentTypeScope="" ma:versionID="6f7c0e0ad607c6e18475215a9f5ef8bb">
  <xsd:schema xmlns:xsd="http://www.w3.org/2001/XMLSchema" xmlns:xs="http://www.w3.org/2001/XMLSchema" xmlns:p="http://schemas.microsoft.com/office/2006/metadata/properties" xmlns:ns2="0da9c064-8fd8-470c-873f-d7330da85a0a" xmlns:ns3="e6696e15-ba67-4809-a213-188cef85e248" targetNamespace="http://schemas.microsoft.com/office/2006/metadata/properties" ma:root="true" ma:fieldsID="017fd4957cbd3f1c6022998632066a46" ns2:_="" ns3:_="">
    <xsd:import namespace="0da9c064-8fd8-470c-873f-d7330da85a0a"/>
    <xsd:import namespace="e6696e15-ba67-4809-a213-188cef85e2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a9c064-8fd8-470c-873f-d7330da85a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6696e15-ba67-4809-a213-188cef85e24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D8D33A-24AE-4336-A93D-8E480ACA52B9}"/>
</file>

<file path=customXml/itemProps2.xml><?xml version="1.0" encoding="utf-8"?>
<ds:datastoreItem xmlns:ds="http://schemas.openxmlformats.org/officeDocument/2006/customXml" ds:itemID="{85D5E3CA-3F6B-4145-8286-33914D8CCAF5}"/>
</file>

<file path=customXml/itemProps3.xml><?xml version="1.0" encoding="utf-8"?>
<ds:datastoreItem xmlns:ds="http://schemas.openxmlformats.org/officeDocument/2006/customXml" ds:itemID="{2C4BFEC8-08DA-46C3-80A0-EC2E5B1F1651}"/>
</file>

<file path=docProps/app.xml><?xml version="1.0" encoding="utf-8"?>
<Properties xmlns="http://schemas.openxmlformats.org/officeDocument/2006/extended-properties" xmlns:vt="http://schemas.openxmlformats.org/officeDocument/2006/docPropsVTypes">
  <Application>Microsoft Excel Online</Application>
  <Manager/>
  <Company>Risk &amp; Policy Analysts Ltd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Spreadsheet to accompany training worked example</dc:title>
  <dc:subject/>
  <dc:creator>Teresa Fenn</dc:creator>
  <cp:keywords/>
  <dc:description/>
  <cp:lastModifiedBy>Elks, Stuart</cp:lastModifiedBy>
  <cp:revision/>
  <dcterms:created xsi:type="dcterms:W3CDTF">1999-04-30T17:11:21Z</dcterms:created>
  <dcterms:modified xsi:type="dcterms:W3CDTF">2022-05-11T08:43:22Z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1051876778</vt:i4>
  </property>
  <property fmtid="{D5CDD505-2E9C-101B-9397-08002B2CF9AE}" pid="3" name="_NewReviewCycle">
    <vt:lpwstr/>
  </property>
  <property fmtid="{D5CDD505-2E9C-101B-9397-08002B2CF9AE}" pid="4" name="_EmailSubject">
    <vt:lpwstr>ePubs document changing from Excel to PDF</vt:lpwstr>
  </property>
  <property fmtid="{D5CDD505-2E9C-101B-9397-08002B2CF9AE}" pid="5" name="_AuthorEmail">
    <vt:lpwstr>audrey.callaghan@environment-agency.gov.uk</vt:lpwstr>
  </property>
  <property fmtid="{D5CDD505-2E9C-101B-9397-08002B2CF9AE}" pid="6" name="_AuthorEmailDisplayName">
    <vt:lpwstr>Callaghan, Audrey</vt:lpwstr>
  </property>
  <property fmtid="{D5CDD505-2E9C-101B-9397-08002B2CF9AE}" pid="7" name="_PreviousAdHocReviewCycleID">
    <vt:i4>1491778408</vt:i4>
  </property>
  <property fmtid="{D5CDD505-2E9C-101B-9397-08002B2CF9AE}" pid="8" name="_ReviewingToolsShownOnce">
    <vt:lpwstr/>
  </property>
  <property fmtid="{D5CDD505-2E9C-101B-9397-08002B2CF9AE}" pid="9" name="ContentTypeId">
    <vt:lpwstr>0x010100B8E8F0C5F6F37A4387C70BD56B950144</vt:lpwstr>
  </property>
</Properties>
</file>